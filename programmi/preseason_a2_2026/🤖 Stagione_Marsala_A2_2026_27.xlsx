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Calendario Stagione" sheetId="1" state="visible" r:id="rId1"/>
    <sheet name="2. Preseason GPP W1-W2" sheetId="2" state="visible" r:id="rId2"/>
    <sheet name="3. Preseason SSP W3-W5" sheetId="3" state="visible" r:id="rId3"/>
    <sheet name="4. Preseason Taper W6" sheetId="4" state="visible" r:id="rId4"/>
    <sheet name="5. In-Season Standard" sheetId="5" state="visible" r:id="rId5"/>
    <sheet name="6. In-Season Alta Densita" sheetId="6" state="visible" r:id="rId6"/>
    <sheet name="7. Snodi Critici Stagione" sheetId="7" state="visible" r:id="rId7"/>
    <sheet name="8. Post-Season 3 Scenari" sheetId="8" state="visible" r:id="rId8"/>
    <sheet name="Dati Gar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1F4E78"/>
      <sz val="11"/>
    </font>
    <font>
      <name val="Arial"/>
      <b val="1"/>
      <color rgb="00FFFFFF"/>
      <sz val="11"/>
    </font>
    <font>
      <name val="Arial"/>
      <b val="1"/>
      <color rgb="00333333"/>
      <sz val="9"/>
    </font>
    <font>
      <name val="Arial"/>
      <i val="1"/>
      <color rgb="00666666"/>
      <sz val="8"/>
    </font>
    <font>
      <name val="Arial"/>
      <color rgb="001A1A1A"/>
      <sz val="8"/>
    </font>
    <font>
      <name val="Arial"/>
      <b val="1"/>
      <color rgb="001A1A1A"/>
      <sz val="8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9"/>
    </font>
    <font>
      <name val="Arial"/>
      <i val="1"/>
      <color rgb="00555555"/>
      <sz val="8"/>
    </font>
  </fonts>
  <fills count="1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6EAF8"/>
      </patternFill>
    </fill>
    <fill>
      <patternFill patternType="solid">
        <fgColor rgb="00A9CCE3"/>
      </patternFill>
    </fill>
    <fill>
      <patternFill patternType="solid">
        <fgColor rgb="00F5CBA7"/>
      </patternFill>
    </fill>
    <fill>
      <patternFill patternType="solid">
        <fgColor rgb="00D5F5E3"/>
      </patternFill>
    </fill>
    <fill>
      <patternFill patternType="solid">
        <fgColor rgb="00E6B0AA"/>
      </patternFill>
    </fill>
    <fill>
      <patternFill patternType="solid">
        <fgColor rgb="00E8DAEF"/>
      </patternFill>
    </fill>
    <fill>
      <patternFill patternType="solid">
        <fgColor rgb="00F9E79F"/>
      </patternFill>
    </fill>
    <fill>
      <patternFill patternType="solid">
        <fgColor rgb="00BFC9CA"/>
      </patternFill>
    </fill>
    <fill>
      <patternFill patternType="solid">
        <fgColor rgb="00F5B7B1"/>
      </patternFill>
    </fill>
    <fill>
      <patternFill patternType="solid">
        <fgColor rgb="00D5D8DC"/>
      </patternFill>
    </fill>
    <fill>
      <patternFill patternType="solid">
        <fgColor rgb="00F2F7FB"/>
      </patternFill>
    </fill>
    <fill>
      <patternFill patternType="solid">
        <fgColor rgb="00EAEDED"/>
      </patternFill>
    </fill>
    <fill>
      <patternFill patternType="solid">
        <fgColor rgb="00FAFAFA"/>
      </patternFill>
    </fill>
    <fill>
      <patternFill patternType="solid">
        <fgColor rgb="005B9BD5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4" borderId="1" applyAlignment="1" pivotButton="0" quotePrefix="0" xfId="0">
      <alignment horizontal="left" vertical="top" wrapText="1" indent="1"/>
    </xf>
    <xf numFmtId="0" fontId="5" fillId="0" borderId="1" applyAlignment="1" pivotButton="0" quotePrefix="0" xfId="0">
      <alignment horizontal="left" vertical="top" wrapText="1" indent="1"/>
    </xf>
    <xf numFmtId="0" fontId="0" fillId="0" borderId="1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left" vertical="top" wrapText="1" indent="1"/>
    </xf>
    <xf numFmtId="0" fontId="5" fillId="5" borderId="1" applyAlignment="1" pivotButton="0" quotePrefix="0" xfId="0">
      <alignment horizontal="left" vertical="top" wrapText="1" indent="1"/>
    </xf>
    <xf numFmtId="0" fontId="5" fillId="6" borderId="1" applyAlignment="1" pivotButton="0" quotePrefix="0" xfId="0">
      <alignment horizontal="left" vertical="top" wrapText="1" indent="1"/>
    </xf>
    <xf numFmtId="0" fontId="5" fillId="7" borderId="1" applyAlignment="1" pivotButton="0" quotePrefix="0" xfId="0">
      <alignment horizontal="left" vertical="top" wrapText="1" indent="1"/>
    </xf>
    <xf numFmtId="0" fontId="5" fillId="8" borderId="1" applyAlignment="1" pivotButton="0" quotePrefix="0" xfId="0">
      <alignment horizontal="left" vertical="top" wrapText="1" indent="1"/>
    </xf>
    <xf numFmtId="0" fontId="5" fillId="9" borderId="1" applyAlignment="1" pivotButton="0" quotePrefix="0" xfId="0">
      <alignment horizontal="left" vertical="top" wrapText="1" indent="1"/>
    </xf>
    <xf numFmtId="0" fontId="5" fillId="10" borderId="1" applyAlignment="1" pivotButton="0" quotePrefix="0" xfId="0">
      <alignment horizontal="left" vertical="top" wrapText="1" indent="1"/>
    </xf>
    <xf numFmtId="0" fontId="0" fillId="11" borderId="1" pivotButton="0" quotePrefix="0" xfId="0"/>
    <xf numFmtId="0" fontId="6" fillId="0" borderId="0" applyAlignment="1" pivotButton="0" quotePrefix="0" xfId="0">
      <alignment vertical="center" inden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12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3" borderId="1" pivotButton="0" quotePrefix="0" xfId="0"/>
    <xf numFmtId="0" fontId="0" fillId="10" borderId="1" pivotButton="0" quotePrefix="0" xfId="0"/>
    <xf numFmtId="0" fontId="5" fillId="0" borderId="1" applyAlignment="1" pivotButton="0" quotePrefix="0" xfId="0">
      <alignment vertical="center" indent="1"/>
    </xf>
    <xf numFmtId="0" fontId="7" fillId="14" borderId="1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0" fillId="15" borderId="1" pivotButton="0" quotePrefix="0" xfId="0"/>
    <xf numFmtId="0" fontId="9" fillId="15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left" vertical="top" wrapText="1" indent="1"/>
    </xf>
    <xf numFmtId="0" fontId="11" fillId="11" borderId="1" applyAlignment="1" pivotButton="0" quotePrefix="0" xfId="0">
      <alignment horizontal="left" vertical="top" wrapText="1" indent="1"/>
    </xf>
    <xf numFmtId="0" fontId="12" fillId="4" borderId="1" applyAlignment="1" pivotButton="0" quotePrefix="0" xfId="0">
      <alignment horizontal="left" vertical="top" wrapText="1" indent="1"/>
    </xf>
    <xf numFmtId="0" fontId="11" fillId="4" borderId="1" applyAlignment="1" pivotButton="0" quotePrefix="0" xfId="0">
      <alignment horizontal="left" vertical="top" wrapText="1" indent="1"/>
    </xf>
    <xf numFmtId="0" fontId="11" fillId="5" borderId="1" applyAlignment="1" pivotButton="0" quotePrefix="0" xfId="0">
      <alignment horizontal="left" vertical="top" wrapText="1" indent="1"/>
    </xf>
    <xf numFmtId="0" fontId="12" fillId="5" borderId="1" applyAlignment="1" pivotButton="0" quotePrefix="0" xfId="0">
      <alignment horizontal="left" vertical="top" wrapText="1" indent="1"/>
    </xf>
    <xf numFmtId="0" fontId="11" fillId="6" borderId="1" applyAlignment="1" pivotButton="0" quotePrefix="0" xfId="0">
      <alignment horizontal="left" vertical="top" wrapText="1" indent="1"/>
    </xf>
    <xf numFmtId="0" fontId="12" fillId="6" borderId="1" applyAlignment="1" pivotButton="0" quotePrefix="0" xfId="0">
      <alignment horizontal="left" vertical="top" wrapText="1" indent="1"/>
    </xf>
    <xf numFmtId="0" fontId="11" fillId="7" borderId="1" applyAlignment="1" pivotButton="0" quotePrefix="0" xfId="0">
      <alignment horizontal="left" vertical="top" wrapText="1" indent="1"/>
    </xf>
    <xf numFmtId="0" fontId="12" fillId="7" borderId="1" applyAlignment="1" pivotButton="0" quotePrefix="0" xfId="0">
      <alignment horizontal="left" vertical="top" wrapText="1" indent="1"/>
    </xf>
    <xf numFmtId="0" fontId="11" fillId="12" borderId="1" applyAlignment="1" pivotButton="0" quotePrefix="0" xfId="0">
      <alignment horizontal="left" vertical="top" wrapText="1" indent="1"/>
    </xf>
    <xf numFmtId="0" fontId="12" fillId="12" borderId="1" applyAlignment="1" pivotButton="0" quotePrefix="0" xfId="0">
      <alignment horizontal="left" vertical="top" wrapText="1" indent="1"/>
    </xf>
    <xf numFmtId="0" fontId="12" fillId="9" borderId="1" applyAlignment="1" pivotButton="0" quotePrefix="0" xfId="0">
      <alignment horizontal="left" vertical="top" wrapText="1" indent="1"/>
    </xf>
    <xf numFmtId="0" fontId="12" fillId="13" borderId="1" applyAlignment="1" pivotButton="0" quotePrefix="0" xfId="0">
      <alignment horizontal="left" vertical="top" wrapText="1" indent="1"/>
    </xf>
    <xf numFmtId="0" fontId="11" fillId="13" borderId="1" applyAlignment="1" pivotButton="0" quotePrefix="0" xfId="0">
      <alignment horizontal="left" vertical="top" wrapText="1" indent="1"/>
    </xf>
    <xf numFmtId="0" fontId="12" fillId="8" borderId="1" applyAlignment="1" pivotButton="0" quotePrefix="0" xfId="0">
      <alignment horizontal="left" vertical="top" wrapText="1" indent="1"/>
    </xf>
    <xf numFmtId="0" fontId="11" fillId="8" borderId="1" applyAlignment="1" pivotButton="0" quotePrefix="0" xfId="0">
      <alignment horizontal="left" vertical="top" wrapText="1" indent="1"/>
    </xf>
    <xf numFmtId="0" fontId="11" fillId="10" borderId="1" applyAlignment="1" pivotButton="0" quotePrefix="0" xfId="0">
      <alignment horizontal="left" vertical="top" wrapText="1" indent="1"/>
    </xf>
    <xf numFmtId="0" fontId="12" fillId="10" borderId="1" applyAlignment="1" pivotButton="0" quotePrefix="0" xfId="0">
      <alignment horizontal="left" vertical="top" wrapText="1" indent="1"/>
    </xf>
    <xf numFmtId="0" fontId="13" fillId="2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left" vertical="center" indent="1"/>
    </xf>
    <xf numFmtId="0" fontId="15" fillId="17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top" wrapText="1" indent="1"/>
    </xf>
    <xf numFmtId="0" fontId="6" fillId="14" borderId="1" applyAlignment="1" pivotButton="0" quotePrefix="0" xfId="0">
      <alignment horizontal="left" vertical="top" wrapText="1" indent="1"/>
    </xf>
    <xf numFmtId="0" fontId="14" fillId="5" borderId="0" applyAlignment="1" pivotButton="0" quotePrefix="0" xfId="0">
      <alignment horizontal="center" vertical="center" wrapText="1"/>
    </xf>
    <xf numFmtId="0" fontId="14" fillId="6" borderId="0" applyAlignment="1" pivotButton="0" quotePrefix="0" xfId="0">
      <alignment horizontal="center" vertical="center" wrapText="1"/>
    </xf>
    <xf numFmtId="0" fontId="14" fillId="7" borderId="0" applyAlignment="1" pivotButton="0" quotePrefix="0" xfId="0">
      <alignment horizontal="center" vertical="center" wrapText="1"/>
    </xf>
    <xf numFmtId="0" fontId="14" fillId="12" borderId="0" applyAlignment="1" pivotButton="0" quotePrefix="0" xfId="0">
      <alignment horizontal="center" vertical="center" wrapText="1"/>
    </xf>
    <xf numFmtId="0" fontId="14" fillId="8" borderId="0" applyAlignment="1" pivotButton="0" quotePrefix="0" xfId="0">
      <alignment horizontal="center" vertical="center" wrapText="1"/>
    </xf>
    <xf numFmtId="0" fontId="14" fillId="10" borderId="0" applyAlignment="1" pivotButton="0" quotePrefix="0" xfId="0">
      <alignment horizontal="center" vertical="center" wrapText="1"/>
    </xf>
    <xf numFmtId="0" fontId="0" fillId="17" borderId="1" pivotButton="0" quotePrefix="0" xfId="0"/>
    <xf numFmtId="0" fontId="0" fillId="14" borderId="1" pivotButton="0" quotePrefix="0" xfId="0"/>
    <xf numFmtId="0" fontId="8" fillId="2" borderId="0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indent="1"/>
    </xf>
    <xf numFmtId="0" fontId="5" fillId="18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16" fillId="0" borderId="0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" t="inlineStr">
        <is>
          <t>SIGEL SEAP MARSALA VOLLEY — PROGRAMMAZIONE STAGIONE 2026/27</t>
        </is>
      </c>
    </row>
    <row r="2" ht="26" customHeight="1">
      <c r="A2" s="2" t="inlineStr">
        <is>
          <t>Dall'off-season ai playoff — Serie A2 Fineco  |  Calendario gare da documento ufficiale Lega Volley Femminile del 30/07/2026  |  Preseason 24/08–04/10  |  Regular Season 04/10–11/04  |  Post-season: 3 scenari (scheda 8)</t>
        </is>
      </c>
    </row>
    <row r="4" ht="22" customHeight="1">
      <c r="A4" s="3" t="inlineStr">
        <is>
          <t>SINTESI — MACRO OBIETTIVI PER PERIODO</t>
        </is>
      </c>
    </row>
    <row r="5" ht="20" customHeight="1">
      <c r="A5" s="4" t="inlineStr">
        <is>
          <t>PERIODO</t>
        </is>
      </c>
      <c r="B5" s="4" t="inlineStr">
        <is>
          <t>DATE</t>
        </is>
      </c>
      <c r="C5" s="5" t="n"/>
      <c r="D5" s="4" t="inlineStr">
        <is>
          <t>MACRO OBIETTIVO</t>
        </is>
      </c>
      <c r="E5" s="5" t="n"/>
      <c r="F5" s="5" t="n"/>
      <c r="G5" s="4" t="inlineStr">
        <is>
          <t>CRITICITA' PRINCIPALE</t>
        </is>
      </c>
      <c r="H5" s="5" t="n"/>
    </row>
    <row r="6" ht="58" customHeight="1">
      <c r="A6" s="6" t="inlineStr">
        <is>
          <t>Preseason W1-W2
GPP / Ponte</t>
        </is>
      </c>
      <c r="B6" s="7" t="inlineStr">
        <is>
          <t>24/08 – 06/09</t>
        </is>
      </c>
      <c r="C6" s="8" t="n"/>
      <c r="D6" s="9" t="inlineStr">
        <is>
          <t>Dissipare la fatica della rampa OS4 conservando le intensita acquisite. Ricondizionamento generale su superfici a basso impatto (sabbia, acqua) e prima esposizione CONTATA al salto di gioco.</t>
        </is>
      </c>
      <c r="E6" s="8" t="n"/>
      <c r="F6" s="8" t="n"/>
      <c r="G6" s="9" t="inlineStr">
        <is>
          <t>DOMS polpaccio/achilleo nelle prime sedute su sabbia. Tentazione di 'ricostruire' volume: non serve, non c'e gap di detraining.</t>
        </is>
      </c>
      <c r="H6" s="8" t="n"/>
    </row>
    <row r="7" ht="58" customHeight="1">
      <c r="A7" s="10" t="inlineStr">
        <is>
          <t>Preseason W3-W5
SSP / Conversione</t>
        </is>
      </c>
      <c r="B7" s="7" t="inlineStr">
        <is>
          <t>07/09 – 27/09</t>
        </is>
      </c>
      <c r="C7" s="8" t="n"/>
      <c r="D7" s="9" t="inlineStr">
        <is>
          <t>Conversione forza-potenza sport-specifica. Il carico di salto passa progressivamente dal programma al gioco (amichevoli 60%-80%-100%).</t>
        </is>
      </c>
      <c r="E7" s="8" t="n"/>
      <c r="F7" s="8" t="n"/>
      <c r="G7" s="9" t="inlineStr">
        <is>
          <t>Prima amichevole: salto di carico oltre 1,5x se non gestita a rate. Overhead a piena velocita da introdurre gradualmente.</t>
        </is>
      </c>
      <c r="H7" s="8" t="n"/>
    </row>
    <row r="8" ht="58" customHeight="1">
      <c r="A8" s="11" t="inlineStr">
        <is>
          <t>Preseason W6
Peak / Taper</t>
        </is>
      </c>
      <c r="B8" s="7" t="inlineStr">
        <is>
          <t>28/09 – 04/10</t>
        </is>
      </c>
      <c r="C8" s="8" t="n"/>
      <c r="D8" s="9" t="inlineStr">
        <is>
          <t>Scarico volume -50% con intensita e frequenza mantenute. Ultimo stimolo neurale a 72h, ultimi salti reattivi a 48h dalla prima gara.</t>
        </is>
      </c>
      <c r="E8" s="8" t="n"/>
      <c r="F8" s="8" t="n"/>
      <c r="G8" s="9" t="inlineStr">
        <is>
          <t>Gara di DOMENICA 04/10: il timing del taper va costruito sulla domenica, non sul sabato.</t>
        </is>
      </c>
      <c r="H8" s="8" t="n"/>
    </row>
    <row r="9" ht="58" customHeight="1">
      <c r="A9" s="12" t="inlineStr">
        <is>
          <t>In-Season
Regular Season</t>
        </is>
      </c>
      <c r="B9" s="7" t="inlineStr">
        <is>
          <t>05/10 – 11/04</t>
        </is>
      </c>
      <c r="C9" s="8" t="n"/>
      <c r="D9" s="9" t="inlineStr">
        <is>
          <t>Mantenere il 90% medio di readiness su 27 settimane con sole 2 sedute pesi + 2 proposte pre-allenamento. Si mantiene e si converte, non si costruisce.</t>
        </is>
      </c>
      <c r="E9" s="8" t="n"/>
      <c r="F9" s="8" t="n"/>
      <c r="G9" s="9" t="inlineStr">
        <is>
          <t>5 blocchi da 3 gare in 7-8 giorni + 7 turni infrasettimanali. La densita gare governa il carico, mai il contrario.</t>
        </is>
      </c>
      <c r="H9" s="8" t="n"/>
    </row>
    <row r="10" ht="58" customHeight="1">
      <c r="A10" s="13" t="inlineStr">
        <is>
          <t>Snodo critico
Rientro sosta</t>
        </is>
      </c>
      <c r="B10" s="7" t="inlineStr">
        <is>
          <t>04/01 – 10/01</t>
        </is>
      </c>
      <c r="C10" s="8" t="n"/>
      <c r="D10" s="9" t="inlineStr">
        <is>
          <t>Gestire la sovrapposizione fra rientro dalla sosta e infrasettimanale in trasferta (06/01 a Roma): si protegge la gara del 10/01, non si insegue quella del 06/01.</t>
        </is>
      </c>
      <c r="E10" s="8" t="n"/>
      <c r="F10" s="8" t="n"/>
      <c r="G10" s="9" t="inlineStr">
        <is>
          <t>Zero margine per un ramp-up: e la settimana piu critica dell'intera stagione.</t>
        </is>
      </c>
      <c r="H10" s="8" t="n"/>
    </row>
    <row r="11" ht="58" customHeight="1">
      <c r="A11" s="14" t="inlineStr">
        <is>
          <t>Turni di riposo
Investimento</t>
        </is>
      </c>
      <c r="B11" s="7" t="inlineStr">
        <is>
          <t>01/11 e 03/02</t>
        </is>
      </c>
      <c r="C11" s="8" t="n"/>
      <c r="D11" s="9" t="inlineStr">
        <is>
          <t>Le uniche 2 finestre dell'anno senza gara: ri-test profilo forza-velocita, ciclo di richiamo qualita piu denso, lavoro tissutale approfondito.</t>
        </is>
      </c>
      <c r="E11" s="8" t="n"/>
      <c r="F11" s="8" t="n"/>
      <c r="G11" s="9" t="inlineStr">
        <is>
          <t>Errore da evitare: usarle come riposo passivo. Il riposo lo da l'assenza di partita, non l'assenza di lavoro.</t>
        </is>
      </c>
      <c r="H11" s="8" t="n"/>
    </row>
    <row r="12" ht="58" customHeight="1">
      <c r="A12" s="15" t="inlineStr">
        <is>
          <t>Post-season
3 scenari</t>
        </is>
      </c>
      <c r="B12" s="7" t="inlineStr">
        <is>
          <t>dal 12/04</t>
        </is>
      </c>
      <c r="C12" s="8" t="n"/>
      <c r="D12" s="9" t="inlineStr">
        <is>
          <t>Tre percorsi alternativi in base al piazzamento: Playoff Promozione (2°-9°), chiusura stagione (10°-12°), Playout salvezza (13°). Dettaglio in scheda 8.</t>
        </is>
      </c>
      <c r="E12" s="8" t="n"/>
      <c r="F12" s="8" t="n"/>
      <c r="G12" s="9" t="inlineStr">
        <is>
          <t>Lo scenario si conosce solo a fine marzo: la preparazione delle ultime 3 settimane deve restare compatibile con tutti e tre.</t>
        </is>
      </c>
      <c r="H12" s="8" t="n"/>
    </row>
    <row r="14" ht="22" customHeight="1">
      <c r="A14" s="3" t="inlineStr">
        <is>
          <t>LEGENDA COLORI</t>
        </is>
      </c>
    </row>
    <row r="15" ht="16" customHeight="1">
      <c r="A15" s="16" t="n"/>
      <c r="B15" s="17" t="inlineStr">
        <is>
          <t>Off-Season OS3/OS4 (in corso)</t>
        </is>
      </c>
      <c r="E15" s="18" t="n"/>
      <c r="F15" s="17" t="inlineStr">
        <is>
          <t>Preseason W1-W2 — GPP / Ponte</t>
        </is>
      </c>
    </row>
    <row r="16" ht="16" customHeight="1">
      <c r="A16" s="19" t="n"/>
      <c r="B16" s="17" t="inlineStr">
        <is>
          <t>Preseason W3-W5 — SSP / Conversione</t>
        </is>
      </c>
      <c r="E16" s="20" t="n"/>
      <c r="F16" s="17" t="inlineStr">
        <is>
          <t>Preseason W6 — Peak / Taper</t>
        </is>
      </c>
    </row>
    <row r="17" ht="16" customHeight="1">
      <c r="A17" s="21" t="n"/>
      <c r="B17" s="17" t="inlineStr">
        <is>
          <t>In-Season — settimana standard</t>
        </is>
      </c>
      <c r="E17" s="22" t="n"/>
      <c r="F17" s="17" t="inlineStr">
        <is>
          <t>In-Season — alta densita (2-3 gare in 7-8 gg)</t>
        </is>
      </c>
    </row>
    <row r="18" ht="16" customHeight="1">
      <c r="A18" s="23" t="n"/>
      <c r="B18" s="17" t="inlineStr">
        <is>
          <t>Snodo critico (rientro sosta + infrasettimanale)</t>
        </is>
      </c>
      <c r="E18" s="24" t="n"/>
      <c r="F18" s="17" t="inlineStr">
        <is>
          <t>Turno di riposo — finestra di investimento</t>
        </is>
      </c>
    </row>
    <row r="19" ht="16" customHeight="1">
      <c r="A19" s="25" t="n"/>
      <c r="B19" s="17" t="inlineStr">
        <is>
          <t>Sosta natalizia</t>
        </is>
      </c>
      <c r="E19" s="26" t="n"/>
      <c r="F19" s="17" t="inlineStr">
        <is>
          <t>Post regular season — 3 scenari</t>
        </is>
      </c>
    </row>
    <row r="21" ht="22" customHeight="1">
      <c r="A21" s="3" t="inlineStr">
        <is>
          <t>RIEPILOGO REGULAR SEASON (calcolato dalla scheda 'Dati Gare')</t>
        </is>
      </c>
    </row>
    <row r="22" ht="18" customHeight="1">
      <c r="A22" s="27" t="inlineStr">
        <is>
          <t>Gare totali</t>
        </is>
      </c>
      <c r="B22" s="28">
        <f>COUNTIF('Dati Gare'!$E$3:$E$36,"CASA")+COUNTIF('Dati Gare'!$E$3:$E$36,"FUORI")</f>
        <v>32</v>
      </c>
      <c r="C22" s="27" t="inlineStr">
        <is>
          <t>Gare in CASA</t>
        </is>
      </c>
      <c r="D22" s="28">
        <f>COUNTIF('Dati Gare'!$E$3:$E$36,"CASA")</f>
        <v>16</v>
      </c>
      <c r="E22" s="27" t="inlineStr">
        <is>
          <t>Gare FUORI</t>
        </is>
      </c>
      <c r="F22" s="28">
        <f>COUNTIF('Dati Gare'!$E$3:$E$36,"FUORI")</f>
        <v>16</v>
      </c>
    </row>
    <row r="23" ht="18" customHeight="1">
      <c r="A23" s="27" t="inlineStr">
        <is>
          <t>Turni di riposo</t>
        </is>
      </c>
      <c r="B23" s="28">
        <f>COUNTIF('Dati Gare'!$E$3:$E$36,"RIPOSO")</f>
        <v>2</v>
      </c>
      <c r="C23" s="27" t="inlineStr">
        <is>
          <t>Gare infrasettimanali</t>
        </is>
      </c>
      <c r="D23" s="28">
        <f>COUNTIFS('Dati Gare'!$F$3:$F$36,"SI",'Dati Gare'!$E$3:$E$36,"&lt;&gt;RIPOSO")</f>
        <v>7</v>
      </c>
      <c r="E23" s="27" t="inlineStr">
        <is>
          <t>Gare in sett. alta densita</t>
        </is>
      </c>
      <c r="F23" s="28">
        <f>COUNTIF('Dati Gare'!$G$3:$G$36,"ALTA DENSITA")</f>
        <v>14</v>
      </c>
    </row>
    <row r="25" ht="22" customHeight="1">
      <c r="A25" s="3" t="inlineStr">
        <is>
          <t>CALENDARIO OPERATIVO — AGOSTO 2026 / MAGGIO 2027</t>
        </is>
      </c>
    </row>
    <row r="27" ht="20" customHeight="1">
      <c r="A27" s="29" t="inlineStr">
        <is>
          <t>AGOSTO 2026</t>
        </is>
      </c>
    </row>
    <row r="28" ht="16" customHeight="1">
      <c r="A28" s="30" t="inlineStr"/>
      <c r="B28" s="31" t="inlineStr">
        <is>
          <t>LUN</t>
        </is>
      </c>
      <c r="C28" s="31" t="inlineStr">
        <is>
          <t>MAR</t>
        </is>
      </c>
      <c r="D28" s="31" t="inlineStr">
        <is>
          <t>MER</t>
        </is>
      </c>
      <c r="E28" s="31" t="inlineStr">
        <is>
          <t>GIO</t>
        </is>
      </c>
      <c r="F28" s="31" t="inlineStr">
        <is>
          <t>VEN</t>
        </is>
      </c>
      <c r="G28" s="31" t="inlineStr">
        <is>
          <t>SAB</t>
        </is>
      </c>
      <c r="H28" s="31" t="inlineStr">
        <is>
          <t>DOM</t>
        </is>
      </c>
    </row>
    <row r="29" ht="20" customHeight="1">
      <c r="A29" s="32" t="inlineStr">
        <is>
          <t>sett. 1</t>
        </is>
      </c>
      <c r="B29" s="33" t="inlineStr"/>
      <c r="C29" s="33" t="inlineStr"/>
      <c r="D29" s="33" t="inlineStr"/>
      <c r="E29" s="33" t="inlineStr"/>
      <c r="F29" s="33" t="inlineStr"/>
      <c r="G29" s="34" t="inlineStr">
        <is>
          <t>1</t>
        </is>
      </c>
      <c r="H29" s="34" t="inlineStr">
        <is>
          <t>2</t>
        </is>
      </c>
    </row>
    <row r="30" ht="20" customHeight="1">
      <c r="A30" s="32" t="inlineStr">
        <is>
          <t>sett. 2</t>
        </is>
      </c>
      <c r="B30" s="34" t="inlineStr">
        <is>
          <t>3</t>
        </is>
      </c>
      <c r="C30" s="34" t="inlineStr">
        <is>
          <t>4</t>
        </is>
      </c>
      <c r="D30" s="34" t="inlineStr">
        <is>
          <t>5</t>
        </is>
      </c>
      <c r="E30" s="34" t="inlineStr">
        <is>
          <t>6</t>
        </is>
      </c>
      <c r="F30" s="34" t="inlineStr">
        <is>
          <t>7</t>
        </is>
      </c>
      <c r="G30" s="34" t="inlineStr">
        <is>
          <t>8</t>
        </is>
      </c>
      <c r="H30" s="34" t="inlineStr">
        <is>
          <t>9</t>
        </is>
      </c>
    </row>
    <row r="31" ht="20" customHeight="1">
      <c r="A31" s="32" t="inlineStr">
        <is>
          <t>sett. 3</t>
        </is>
      </c>
      <c r="B31" s="34" t="inlineStr">
        <is>
          <t>10</t>
        </is>
      </c>
      <c r="C31" s="34" t="inlineStr">
        <is>
          <t>11</t>
        </is>
      </c>
      <c r="D31" s="34" t="inlineStr">
        <is>
          <t>12</t>
        </is>
      </c>
      <c r="E31" s="34" t="inlineStr">
        <is>
          <t>13</t>
        </is>
      </c>
      <c r="F31" s="34" t="inlineStr">
        <is>
          <t>14</t>
        </is>
      </c>
      <c r="G31" s="34" t="inlineStr">
        <is>
          <t>15</t>
        </is>
      </c>
      <c r="H31" s="34" t="inlineStr">
        <is>
          <t>16</t>
        </is>
      </c>
    </row>
    <row r="32" ht="20" customHeight="1">
      <c r="A32" s="32" t="inlineStr">
        <is>
          <t>sett. 4</t>
        </is>
      </c>
      <c r="B32" s="34" t="inlineStr">
        <is>
          <t>17</t>
        </is>
      </c>
      <c r="C32" s="34" t="inlineStr">
        <is>
          <t>18</t>
        </is>
      </c>
      <c r="D32" s="34" t="inlineStr">
        <is>
          <t>19</t>
        </is>
      </c>
      <c r="E32" s="34" t="inlineStr">
        <is>
          <t>20</t>
        </is>
      </c>
      <c r="F32" s="34" t="inlineStr">
        <is>
          <t>21</t>
        </is>
      </c>
      <c r="G32" s="34" t="inlineStr">
        <is>
          <t>22</t>
        </is>
      </c>
      <c r="H32" s="34" t="inlineStr">
        <is>
          <t>23</t>
        </is>
      </c>
    </row>
    <row r="33" ht="40" customHeight="1">
      <c r="A33" s="32" t="inlineStr">
        <is>
          <t>sett. 5</t>
        </is>
      </c>
      <c r="B33" s="35" t="inlineStr">
        <is>
          <t>24
INIZIO PRESEASON</t>
        </is>
      </c>
      <c r="C33" s="36" t="inlineStr">
        <is>
          <t>25</t>
        </is>
      </c>
      <c r="D33" s="36" t="inlineStr">
        <is>
          <t>26</t>
        </is>
      </c>
      <c r="E33" s="36" t="inlineStr">
        <is>
          <t>27</t>
        </is>
      </c>
      <c r="F33" s="36" t="inlineStr">
        <is>
          <t>28</t>
        </is>
      </c>
      <c r="G33" s="36" t="inlineStr">
        <is>
          <t>29</t>
        </is>
      </c>
      <c r="H33" s="36" t="inlineStr">
        <is>
          <t>30</t>
        </is>
      </c>
    </row>
    <row r="34" ht="20" customHeight="1">
      <c r="A34" s="32" t="inlineStr">
        <is>
          <t>sett. 6</t>
        </is>
      </c>
      <c r="B34" s="36" t="inlineStr">
        <is>
          <t>31</t>
        </is>
      </c>
      <c r="C34" s="33" t="inlineStr"/>
      <c r="D34" s="33" t="inlineStr"/>
      <c r="E34" s="33" t="inlineStr"/>
      <c r="F34" s="33" t="inlineStr"/>
      <c r="G34" s="33" t="inlineStr"/>
      <c r="H34" s="33" t="inlineStr"/>
    </row>
    <row r="36" ht="20" customHeight="1">
      <c r="A36" s="29" t="inlineStr">
        <is>
          <t>SETTEMBRE 2026</t>
        </is>
      </c>
    </row>
    <row r="37" ht="16" customHeight="1">
      <c r="A37" s="30" t="inlineStr"/>
      <c r="B37" s="31" t="inlineStr">
        <is>
          <t>LUN</t>
        </is>
      </c>
      <c r="C37" s="31" t="inlineStr">
        <is>
          <t>MAR</t>
        </is>
      </c>
      <c r="D37" s="31" t="inlineStr">
        <is>
          <t>MER</t>
        </is>
      </c>
      <c r="E37" s="31" t="inlineStr">
        <is>
          <t>GIO</t>
        </is>
      </c>
      <c r="F37" s="31" t="inlineStr">
        <is>
          <t>VEN</t>
        </is>
      </c>
      <c r="G37" s="31" t="inlineStr">
        <is>
          <t>SAB</t>
        </is>
      </c>
      <c r="H37" s="31" t="inlineStr">
        <is>
          <t>DOM</t>
        </is>
      </c>
    </row>
    <row r="38" ht="20" customHeight="1">
      <c r="A38" s="32" t="inlineStr">
        <is>
          <t>sett. 1</t>
        </is>
      </c>
      <c r="B38" s="33" t="inlineStr"/>
      <c r="C38" s="36" t="inlineStr">
        <is>
          <t>1</t>
        </is>
      </c>
      <c r="D38" s="36" t="inlineStr">
        <is>
          <t>2</t>
        </is>
      </c>
      <c r="E38" s="36" t="inlineStr">
        <is>
          <t>3</t>
        </is>
      </c>
      <c r="F38" s="36" t="inlineStr">
        <is>
          <t>4</t>
        </is>
      </c>
      <c r="G38" s="36" t="inlineStr">
        <is>
          <t>5</t>
        </is>
      </c>
      <c r="H38" s="36" t="inlineStr">
        <is>
          <t>6</t>
        </is>
      </c>
    </row>
    <row r="39" ht="40" customHeight="1">
      <c r="A39" s="32" t="inlineStr">
        <is>
          <t>sett. 2</t>
        </is>
      </c>
      <c r="B39" s="37" t="inlineStr">
        <is>
          <t>7</t>
        </is>
      </c>
      <c r="C39" s="37" t="inlineStr">
        <is>
          <t>8</t>
        </is>
      </c>
      <c r="D39" s="37" t="inlineStr">
        <is>
          <t>9</t>
        </is>
      </c>
      <c r="E39" s="37" t="inlineStr">
        <is>
          <t>10</t>
        </is>
      </c>
      <c r="F39" s="37" t="inlineStr">
        <is>
          <t>11</t>
        </is>
      </c>
      <c r="G39" s="38" t="inlineStr">
        <is>
          <t>12
Amichevole (limitata)</t>
        </is>
      </c>
      <c r="H39" s="37" t="inlineStr">
        <is>
          <t>13</t>
        </is>
      </c>
    </row>
    <row r="40" ht="40" customHeight="1">
      <c r="A40" s="32" t="inlineStr">
        <is>
          <t>sett. 3</t>
        </is>
      </c>
      <c r="B40" s="37" t="inlineStr">
        <is>
          <t>14</t>
        </is>
      </c>
      <c r="C40" s="37" t="inlineStr">
        <is>
          <t>15</t>
        </is>
      </c>
      <c r="D40" s="37" t="inlineStr">
        <is>
          <t>16</t>
        </is>
      </c>
      <c r="E40" s="37" t="inlineStr">
        <is>
          <t>17</t>
        </is>
      </c>
      <c r="F40" s="37" t="inlineStr">
        <is>
          <t>18</t>
        </is>
      </c>
      <c r="G40" s="38" t="inlineStr">
        <is>
          <t>19
Amichevole (piena)</t>
        </is>
      </c>
      <c r="H40" s="37" t="inlineStr">
        <is>
          <t>20</t>
        </is>
      </c>
    </row>
    <row r="41" ht="40" customHeight="1">
      <c r="A41" s="32" t="inlineStr">
        <is>
          <t>sett. 4</t>
        </is>
      </c>
      <c r="B41" s="37" t="inlineStr">
        <is>
          <t>21</t>
        </is>
      </c>
      <c r="C41" s="37" t="inlineStr">
        <is>
          <t>22</t>
        </is>
      </c>
      <c r="D41" s="37" t="inlineStr">
        <is>
          <t>23</t>
        </is>
      </c>
      <c r="E41" s="37" t="inlineStr">
        <is>
          <t>24</t>
        </is>
      </c>
      <c r="F41" s="37" t="inlineStr">
        <is>
          <t>25</t>
        </is>
      </c>
      <c r="G41" s="38" t="inlineStr">
        <is>
          <t>26
Amichevole (piena)</t>
        </is>
      </c>
      <c r="H41" s="37" t="inlineStr">
        <is>
          <t>27</t>
        </is>
      </c>
    </row>
    <row r="42" ht="40" customHeight="1">
      <c r="A42" s="32" t="inlineStr">
        <is>
          <t>sett. 5</t>
        </is>
      </c>
      <c r="B42" s="39" t="inlineStr">
        <is>
          <t>28</t>
        </is>
      </c>
      <c r="C42" s="39" t="inlineStr">
        <is>
          <t>29</t>
        </is>
      </c>
      <c r="D42" s="39" t="inlineStr">
        <is>
          <t>30</t>
        </is>
      </c>
      <c r="E42" s="33" t="inlineStr"/>
      <c r="F42" s="33" t="inlineStr"/>
      <c r="G42" s="33" t="inlineStr"/>
      <c r="H42" s="33" t="inlineStr"/>
    </row>
    <row r="44" ht="20" customHeight="1">
      <c r="A44" s="29" t="inlineStr">
        <is>
          <t>OTTOBRE 2026</t>
        </is>
      </c>
    </row>
    <row r="45" ht="16" customHeight="1">
      <c r="A45" s="30" t="inlineStr"/>
      <c r="B45" s="31" t="inlineStr">
        <is>
          <t>LUN</t>
        </is>
      </c>
      <c r="C45" s="31" t="inlineStr">
        <is>
          <t>MAR</t>
        </is>
      </c>
      <c r="D45" s="31" t="inlineStr">
        <is>
          <t>MER</t>
        </is>
      </c>
      <c r="E45" s="31" t="inlineStr">
        <is>
          <t>GIO</t>
        </is>
      </c>
      <c r="F45" s="31" t="inlineStr">
        <is>
          <t>VEN</t>
        </is>
      </c>
      <c r="G45" s="31" t="inlineStr">
        <is>
          <t>SAB</t>
        </is>
      </c>
      <c r="H45" s="31" t="inlineStr">
        <is>
          <t>DOM</t>
        </is>
      </c>
    </row>
    <row r="46" ht="40" customHeight="1">
      <c r="A46" s="32" t="inlineStr">
        <is>
          <t>sett. 1</t>
        </is>
      </c>
      <c r="B46" s="33" t="inlineStr"/>
      <c r="C46" s="33" t="inlineStr"/>
      <c r="D46" s="33" t="inlineStr"/>
      <c r="E46" s="39" t="inlineStr">
        <is>
          <t>1</t>
        </is>
      </c>
      <c r="F46" s="39" t="inlineStr">
        <is>
          <t>2</t>
        </is>
      </c>
      <c r="G46" s="39" t="inlineStr">
        <is>
          <t>3</t>
        </is>
      </c>
      <c r="H46" s="40" t="inlineStr">
        <is>
          <t>4
G1 · FUORI
C.B.L. Costa Volpino</t>
        </is>
      </c>
    </row>
    <row r="47" ht="40" customHeight="1">
      <c r="A47" s="32" t="inlineStr">
        <is>
          <t>sett. 2</t>
        </is>
      </c>
      <c r="B47" s="41" t="inlineStr">
        <is>
          <t>5</t>
        </is>
      </c>
      <c r="C47" s="41" t="inlineStr">
        <is>
          <t>6</t>
        </is>
      </c>
      <c r="D47" s="41" t="inlineStr">
        <is>
          <t>7</t>
        </is>
      </c>
      <c r="E47" s="41" t="inlineStr">
        <is>
          <t>8</t>
        </is>
      </c>
      <c r="F47" s="41" t="inlineStr">
        <is>
          <t>9</t>
        </is>
      </c>
      <c r="G47" s="41" t="inlineStr">
        <is>
          <t>10</t>
        </is>
      </c>
      <c r="H47" s="42" t="inlineStr">
        <is>
          <t>11
G2 · CASA
Futura Giovani Busto Arsiz</t>
        </is>
      </c>
    </row>
    <row r="48" ht="40" customHeight="1">
      <c r="A48" s="32" t="inlineStr">
        <is>
          <t>sett. 3</t>
        </is>
      </c>
      <c r="B48" s="43" t="inlineStr">
        <is>
          <t>12</t>
        </is>
      </c>
      <c r="C48" s="43" t="inlineStr">
        <is>
          <t>13</t>
        </is>
      </c>
      <c r="D48" s="44" t="inlineStr">
        <is>
          <t>14
G3 · FUORI
Panbisco Leonessa Altamura</t>
        </is>
      </c>
      <c r="E48" s="43" t="inlineStr">
        <is>
          <t>15</t>
        </is>
      </c>
      <c r="F48" s="43" t="inlineStr">
        <is>
          <t>16</t>
        </is>
      </c>
      <c r="G48" s="43" t="inlineStr">
        <is>
          <t>17</t>
        </is>
      </c>
      <c r="H48" s="44" t="inlineStr">
        <is>
          <t>18
G4 · FUORI
Tenaglia Altino Avastese</t>
        </is>
      </c>
    </row>
    <row r="49" ht="40" customHeight="1">
      <c r="A49" s="32" t="inlineStr">
        <is>
          <t>sett. 4</t>
        </is>
      </c>
      <c r="B49" s="41" t="inlineStr">
        <is>
          <t>19</t>
        </is>
      </c>
      <c r="C49" s="41" t="inlineStr">
        <is>
          <t>20</t>
        </is>
      </c>
      <c r="D49" s="41" t="inlineStr">
        <is>
          <t>21</t>
        </is>
      </c>
      <c r="E49" s="41" t="inlineStr">
        <is>
          <t>22</t>
        </is>
      </c>
      <c r="F49" s="41" t="inlineStr">
        <is>
          <t>23</t>
        </is>
      </c>
      <c r="G49" s="41" t="inlineStr">
        <is>
          <t>24</t>
        </is>
      </c>
      <c r="H49" s="42" t="inlineStr">
        <is>
          <t>25
G5 · CASA
Nuvoli Altafratte Padova</t>
        </is>
      </c>
    </row>
    <row r="50" ht="40" customHeight="1">
      <c r="A50" s="32" t="inlineStr">
        <is>
          <t>sett. 5</t>
        </is>
      </c>
      <c r="B50" s="41" t="inlineStr">
        <is>
          <t>26</t>
        </is>
      </c>
      <c r="C50" s="41" t="inlineStr">
        <is>
          <t>27</t>
        </is>
      </c>
      <c r="D50" s="41" t="inlineStr">
        <is>
          <t>28</t>
        </is>
      </c>
      <c r="E50" s="41" t="inlineStr">
        <is>
          <t>29</t>
        </is>
      </c>
      <c r="F50" s="41" t="inlineStr">
        <is>
          <t>30</t>
        </is>
      </c>
      <c r="G50" s="41" t="inlineStr">
        <is>
          <t>31</t>
        </is>
      </c>
      <c r="H50" s="33" t="inlineStr"/>
    </row>
    <row r="52" ht="20" customHeight="1">
      <c r="A52" s="29" t="inlineStr">
        <is>
          <t>NOVEMBRE 2026</t>
        </is>
      </c>
    </row>
    <row r="53" ht="16" customHeight="1">
      <c r="A53" s="30" t="inlineStr"/>
      <c r="B53" s="31" t="inlineStr">
        <is>
          <t>LUN</t>
        </is>
      </c>
      <c r="C53" s="31" t="inlineStr">
        <is>
          <t>MAR</t>
        </is>
      </c>
      <c r="D53" s="31" t="inlineStr">
        <is>
          <t>MER</t>
        </is>
      </c>
      <c r="E53" s="31" t="inlineStr">
        <is>
          <t>GIO</t>
        </is>
      </c>
      <c r="F53" s="31" t="inlineStr">
        <is>
          <t>VEN</t>
        </is>
      </c>
      <c r="G53" s="31" t="inlineStr">
        <is>
          <t>SAB</t>
        </is>
      </c>
      <c r="H53" s="31" t="inlineStr">
        <is>
          <t>DOM</t>
        </is>
      </c>
    </row>
    <row r="54" ht="40" customHeight="1">
      <c r="A54" s="32" t="inlineStr">
        <is>
          <t>sett. 1</t>
        </is>
      </c>
      <c r="B54" s="33" t="inlineStr"/>
      <c r="C54" s="33" t="inlineStr"/>
      <c r="D54" s="33" t="inlineStr"/>
      <c r="E54" s="33" t="inlineStr"/>
      <c r="F54" s="33" t="inlineStr"/>
      <c r="G54" s="33" t="inlineStr"/>
      <c r="H54" s="45" t="inlineStr">
        <is>
          <t>1
RIPOSO
(investimento)</t>
        </is>
      </c>
    </row>
    <row r="55" ht="40" customHeight="1">
      <c r="A55" s="32" t="inlineStr">
        <is>
          <t>sett. 2</t>
        </is>
      </c>
      <c r="B55" s="41" t="inlineStr">
        <is>
          <t>2</t>
        </is>
      </c>
      <c r="C55" s="41" t="inlineStr">
        <is>
          <t>3</t>
        </is>
      </c>
      <c r="D55" s="41" t="inlineStr">
        <is>
          <t>4</t>
        </is>
      </c>
      <c r="E55" s="41" t="inlineStr">
        <is>
          <t>5</t>
        </is>
      </c>
      <c r="F55" s="41" t="inlineStr">
        <is>
          <t>6</t>
        </is>
      </c>
      <c r="G55" s="41" t="inlineStr">
        <is>
          <t>7</t>
        </is>
      </c>
      <c r="H55" s="42" t="inlineStr">
        <is>
          <t>8
G7 · CASA
Dragons Offanengo</t>
        </is>
      </c>
    </row>
    <row r="56" ht="40" customHeight="1">
      <c r="A56" s="32" t="inlineStr">
        <is>
          <t>sett. 3</t>
        </is>
      </c>
      <c r="B56" s="41" t="inlineStr">
        <is>
          <t>9</t>
        </is>
      </c>
      <c r="C56" s="41" t="inlineStr">
        <is>
          <t>10</t>
        </is>
      </c>
      <c r="D56" s="41" t="inlineStr">
        <is>
          <t>11</t>
        </is>
      </c>
      <c r="E56" s="41" t="inlineStr">
        <is>
          <t>12</t>
        </is>
      </c>
      <c r="F56" s="41" t="inlineStr">
        <is>
          <t>13</t>
        </is>
      </c>
      <c r="G56" s="41" t="inlineStr">
        <is>
          <t>14</t>
        </is>
      </c>
      <c r="H56" s="44" t="inlineStr">
        <is>
          <t>15
G8 · CASA
Clai Imola Volley</t>
        </is>
      </c>
    </row>
    <row r="57" ht="40" customHeight="1">
      <c r="A57" s="32" t="inlineStr">
        <is>
          <t>sett. 4</t>
        </is>
      </c>
      <c r="B57" s="43" t="inlineStr">
        <is>
          <t>16</t>
        </is>
      </c>
      <c r="C57" s="43" t="inlineStr">
        <is>
          <t>17</t>
        </is>
      </c>
      <c r="D57" s="44" t="inlineStr">
        <is>
          <t>18
G9 · FUORI
Club Italia</t>
        </is>
      </c>
      <c r="E57" s="43" t="inlineStr">
        <is>
          <t>19</t>
        </is>
      </c>
      <c r="F57" s="43" t="inlineStr">
        <is>
          <t>20</t>
        </is>
      </c>
      <c r="G57" s="43" t="inlineStr">
        <is>
          <t>21</t>
        </is>
      </c>
      <c r="H57" s="44" t="inlineStr">
        <is>
          <t>22
G10 · CASA
Itas Trentino</t>
        </is>
      </c>
    </row>
    <row r="58" ht="40" customHeight="1">
      <c r="A58" s="32" t="inlineStr">
        <is>
          <t>sett. 5</t>
        </is>
      </c>
      <c r="B58" s="41" t="inlineStr">
        <is>
          <t>23</t>
        </is>
      </c>
      <c r="C58" s="41" t="inlineStr">
        <is>
          <t>24</t>
        </is>
      </c>
      <c r="D58" s="41" t="inlineStr">
        <is>
          <t>25</t>
        </is>
      </c>
      <c r="E58" s="41" t="inlineStr">
        <is>
          <t>26</t>
        </is>
      </c>
      <c r="F58" s="41" t="inlineStr">
        <is>
          <t>27</t>
        </is>
      </c>
      <c r="G58" s="41" t="inlineStr">
        <is>
          <t>28</t>
        </is>
      </c>
      <c r="H58" s="42" t="inlineStr">
        <is>
          <t>29
G11 · CASA
Olio Pantaleo Volley Fasan</t>
        </is>
      </c>
    </row>
    <row r="59" ht="40" customHeight="1">
      <c r="A59" s="32" t="inlineStr">
        <is>
          <t>sett. 6</t>
        </is>
      </c>
      <c r="B59" s="41" t="inlineStr">
        <is>
          <t>30</t>
        </is>
      </c>
      <c r="C59" s="33" t="inlineStr"/>
      <c r="D59" s="33" t="inlineStr"/>
      <c r="E59" s="33" t="inlineStr"/>
      <c r="F59" s="33" t="inlineStr"/>
      <c r="G59" s="33" t="inlineStr"/>
      <c r="H59" s="33" t="inlineStr"/>
    </row>
    <row r="61" ht="20" customHeight="1">
      <c r="A61" s="29" t="inlineStr">
        <is>
          <t>DICEMBRE 2026</t>
        </is>
      </c>
    </row>
    <row r="62" ht="16" customHeight="1">
      <c r="A62" s="30" t="inlineStr"/>
      <c r="B62" s="31" t="inlineStr">
        <is>
          <t>LUN</t>
        </is>
      </c>
      <c r="C62" s="31" t="inlineStr">
        <is>
          <t>MAR</t>
        </is>
      </c>
      <c r="D62" s="31" t="inlineStr">
        <is>
          <t>MER</t>
        </is>
      </c>
      <c r="E62" s="31" t="inlineStr">
        <is>
          <t>GIO</t>
        </is>
      </c>
      <c r="F62" s="31" t="inlineStr">
        <is>
          <t>VEN</t>
        </is>
      </c>
      <c r="G62" s="31" t="inlineStr">
        <is>
          <t>SAB</t>
        </is>
      </c>
      <c r="H62" s="31" t="inlineStr">
        <is>
          <t>DOM</t>
        </is>
      </c>
    </row>
    <row r="63" ht="40" customHeight="1">
      <c r="A63" s="32" t="inlineStr">
        <is>
          <t>sett. 1</t>
        </is>
      </c>
      <c r="B63" s="33" t="inlineStr"/>
      <c r="C63" s="41" t="inlineStr">
        <is>
          <t>1</t>
        </is>
      </c>
      <c r="D63" s="41" t="inlineStr">
        <is>
          <t>2</t>
        </is>
      </c>
      <c r="E63" s="41" t="inlineStr">
        <is>
          <t>3</t>
        </is>
      </c>
      <c r="F63" s="41" t="inlineStr">
        <is>
          <t>4</t>
        </is>
      </c>
      <c r="G63" s="41" t="inlineStr">
        <is>
          <t>5</t>
        </is>
      </c>
      <c r="H63" s="42" t="inlineStr">
        <is>
          <t>6
G12 · FUORI
Narconon Volley Melendugno</t>
        </is>
      </c>
    </row>
    <row r="64" ht="40" customHeight="1">
      <c r="A64" s="32" t="inlineStr">
        <is>
          <t>sett. 2</t>
        </is>
      </c>
      <c r="B64" s="41" t="inlineStr">
        <is>
          <t>7</t>
        </is>
      </c>
      <c r="C64" s="41" t="inlineStr">
        <is>
          <t>8</t>
        </is>
      </c>
      <c r="D64" s="41" t="inlineStr">
        <is>
          <t>9</t>
        </is>
      </c>
      <c r="E64" s="41" t="inlineStr">
        <is>
          <t>10</t>
        </is>
      </c>
      <c r="F64" s="41" t="inlineStr">
        <is>
          <t>11</t>
        </is>
      </c>
      <c r="G64" s="41" t="inlineStr">
        <is>
          <t>12</t>
        </is>
      </c>
      <c r="H64" s="44" t="inlineStr">
        <is>
          <t>13
G13 · CASA
Wash4Green Monviso Volley</t>
        </is>
      </c>
    </row>
    <row r="65" ht="40" customHeight="1">
      <c r="A65" s="32" t="inlineStr">
        <is>
          <t>sett. 3</t>
        </is>
      </c>
      <c r="B65" s="43" t="inlineStr">
        <is>
          <t>14</t>
        </is>
      </c>
      <c r="C65" s="43" t="inlineStr">
        <is>
          <t>15</t>
        </is>
      </c>
      <c r="D65" s="44" t="inlineStr">
        <is>
          <t>16
G14 · FUORI
VBC Cremonese</t>
        </is>
      </c>
      <c r="E65" s="43" t="inlineStr">
        <is>
          <t>17</t>
        </is>
      </c>
      <c r="F65" s="43" t="inlineStr">
        <is>
          <t>18</t>
        </is>
      </c>
      <c r="G65" s="43" t="inlineStr">
        <is>
          <t>19</t>
        </is>
      </c>
      <c r="H65" s="44" t="inlineStr">
        <is>
          <t>20
G15 · CASA
Bartoccini +energia Perugi</t>
        </is>
      </c>
    </row>
    <row r="66" ht="40" customHeight="1">
      <c r="A66" s="32" t="inlineStr">
        <is>
          <t>sett. 4</t>
        </is>
      </c>
      <c r="B66" s="41" t="inlineStr">
        <is>
          <t>21</t>
        </is>
      </c>
      <c r="C66" s="41" t="inlineStr">
        <is>
          <t>22</t>
        </is>
      </c>
      <c r="D66" s="41" t="inlineStr">
        <is>
          <t>23</t>
        </is>
      </c>
      <c r="E66" s="41" t="inlineStr">
        <is>
          <t>24</t>
        </is>
      </c>
      <c r="F66" s="41" t="inlineStr">
        <is>
          <t>25</t>
        </is>
      </c>
      <c r="G66" s="42" t="inlineStr">
        <is>
          <t>26
G16 · CASA
Akademia Sant'Anna Messina</t>
        </is>
      </c>
      <c r="H66" s="46" t="inlineStr">
        <is>
          <t>27
Inizio sosta</t>
        </is>
      </c>
    </row>
    <row r="67" ht="20" customHeight="1">
      <c r="A67" s="32" t="inlineStr">
        <is>
          <t>sett. 5</t>
        </is>
      </c>
      <c r="B67" s="47" t="inlineStr">
        <is>
          <t>28</t>
        </is>
      </c>
      <c r="C67" s="47" t="inlineStr">
        <is>
          <t>29</t>
        </is>
      </c>
      <c r="D67" s="47" t="inlineStr">
        <is>
          <t>30</t>
        </is>
      </c>
      <c r="E67" s="47" t="inlineStr">
        <is>
          <t>31</t>
        </is>
      </c>
      <c r="F67" s="33" t="inlineStr"/>
      <c r="G67" s="33" t="inlineStr"/>
      <c r="H67" s="33" t="inlineStr"/>
    </row>
    <row r="69" ht="20" customHeight="1">
      <c r="A69" s="29" t="inlineStr">
        <is>
          <t>GENNAIO 2027</t>
        </is>
      </c>
    </row>
    <row r="70" ht="16" customHeight="1">
      <c r="A70" s="30" t="inlineStr"/>
      <c r="B70" s="31" t="inlineStr">
        <is>
          <t>LUN</t>
        </is>
      </c>
      <c r="C70" s="31" t="inlineStr">
        <is>
          <t>MAR</t>
        </is>
      </c>
      <c r="D70" s="31" t="inlineStr">
        <is>
          <t>MER</t>
        </is>
      </c>
      <c r="E70" s="31" t="inlineStr">
        <is>
          <t>GIO</t>
        </is>
      </c>
      <c r="F70" s="31" t="inlineStr">
        <is>
          <t>VEN</t>
        </is>
      </c>
      <c r="G70" s="31" t="inlineStr">
        <is>
          <t>SAB</t>
        </is>
      </c>
      <c r="H70" s="31" t="inlineStr">
        <is>
          <t>DOM</t>
        </is>
      </c>
    </row>
    <row r="71" ht="20" customHeight="1">
      <c r="A71" s="32" t="inlineStr">
        <is>
          <t>sett. 1</t>
        </is>
      </c>
      <c r="B71" s="33" t="inlineStr"/>
      <c r="C71" s="33" t="inlineStr"/>
      <c r="D71" s="33" t="inlineStr"/>
      <c r="E71" s="33" t="inlineStr"/>
      <c r="F71" s="47" t="inlineStr">
        <is>
          <t>1</t>
        </is>
      </c>
      <c r="G71" s="47" t="inlineStr">
        <is>
          <t>2</t>
        </is>
      </c>
      <c r="H71" s="47" t="inlineStr">
        <is>
          <t>3</t>
        </is>
      </c>
    </row>
    <row r="72" ht="40" customHeight="1">
      <c r="A72" s="32" t="inlineStr">
        <is>
          <t>sett. 2</t>
        </is>
      </c>
      <c r="B72" s="48" t="inlineStr">
        <is>
          <t>4
Ripresa allenamenti</t>
        </is>
      </c>
      <c r="C72" s="49" t="inlineStr">
        <is>
          <t>5</t>
        </is>
      </c>
      <c r="D72" s="48" t="inlineStr">
        <is>
          <t>6
G17 · FUORI
Ferraro SMI Roma Volley</t>
        </is>
      </c>
      <c r="E72" s="49" t="inlineStr">
        <is>
          <t>7</t>
        </is>
      </c>
      <c r="F72" s="49" t="inlineStr">
        <is>
          <t>8</t>
        </is>
      </c>
      <c r="G72" s="49" t="inlineStr">
        <is>
          <t>9</t>
        </is>
      </c>
      <c r="H72" s="48" t="inlineStr">
        <is>
          <t>10
G18 · CASA
C.B.L. Costa Volpino</t>
        </is>
      </c>
    </row>
    <row r="73" ht="40" customHeight="1">
      <c r="A73" s="32" t="inlineStr">
        <is>
          <t>sett. 3</t>
        </is>
      </c>
      <c r="B73" s="41" t="inlineStr">
        <is>
          <t>11</t>
        </is>
      </c>
      <c r="C73" s="41" t="inlineStr">
        <is>
          <t>12</t>
        </is>
      </c>
      <c r="D73" s="41" t="inlineStr">
        <is>
          <t>13</t>
        </is>
      </c>
      <c r="E73" s="41" t="inlineStr">
        <is>
          <t>14</t>
        </is>
      </c>
      <c r="F73" s="41" t="inlineStr">
        <is>
          <t>15</t>
        </is>
      </c>
      <c r="G73" s="41" t="inlineStr">
        <is>
          <t>16</t>
        </is>
      </c>
      <c r="H73" s="44" t="inlineStr">
        <is>
          <t>17
G19 · FUORI
Futura Giovani Busto Arsiz</t>
        </is>
      </c>
    </row>
    <row r="74" ht="40" customHeight="1">
      <c r="A74" s="32" t="inlineStr">
        <is>
          <t>sett. 4</t>
        </is>
      </c>
      <c r="B74" s="43" t="inlineStr">
        <is>
          <t>18</t>
        </is>
      </c>
      <c r="C74" s="43" t="inlineStr">
        <is>
          <t>19</t>
        </is>
      </c>
      <c r="D74" s="44" t="inlineStr">
        <is>
          <t>20
G20 · CASA
Panbisco Leonessa Altamura</t>
        </is>
      </c>
      <c r="E74" s="43" t="inlineStr">
        <is>
          <t>21</t>
        </is>
      </c>
      <c r="F74" s="43" t="inlineStr">
        <is>
          <t>22</t>
        </is>
      </c>
      <c r="G74" s="43" t="inlineStr">
        <is>
          <t>23</t>
        </is>
      </c>
      <c r="H74" s="44" t="inlineStr">
        <is>
          <t>24
G21 · CASA
Tenaglia Altino Avastese</t>
        </is>
      </c>
    </row>
    <row r="75" ht="40" customHeight="1">
      <c r="A75" s="32" t="inlineStr">
        <is>
          <t>sett. 5</t>
        </is>
      </c>
      <c r="B75" s="41" t="inlineStr">
        <is>
          <t>25</t>
        </is>
      </c>
      <c r="C75" s="41" t="inlineStr">
        <is>
          <t>26</t>
        </is>
      </c>
      <c r="D75" s="41" t="inlineStr">
        <is>
          <t>27</t>
        </is>
      </c>
      <c r="E75" s="41" t="inlineStr">
        <is>
          <t>28</t>
        </is>
      </c>
      <c r="F75" s="41" t="inlineStr">
        <is>
          <t>29</t>
        </is>
      </c>
      <c r="G75" s="41" t="inlineStr">
        <is>
          <t>30</t>
        </is>
      </c>
      <c r="H75" s="42" t="inlineStr">
        <is>
          <t>31
G22 · FUORI
Nuvoli Altafratte Padova</t>
        </is>
      </c>
    </row>
    <row r="77" ht="20" customHeight="1">
      <c r="A77" s="29" t="inlineStr">
        <is>
          <t>FEBBRAIO 2027</t>
        </is>
      </c>
    </row>
    <row r="78" ht="16" customHeight="1">
      <c r="A78" s="30" t="inlineStr"/>
      <c r="B78" s="31" t="inlineStr">
        <is>
          <t>LUN</t>
        </is>
      </c>
      <c r="C78" s="31" t="inlineStr">
        <is>
          <t>MAR</t>
        </is>
      </c>
      <c r="D78" s="31" t="inlineStr">
        <is>
          <t>MER</t>
        </is>
      </c>
      <c r="E78" s="31" t="inlineStr">
        <is>
          <t>GIO</t>
        </is>
      </c>
      <c r="F78" s="31" t="inlineStr">
        <is>
          <t>VEN</t>
        </is>
      </c>
      <c r="G78" s="31" t="inlineStr">
        <is>
          <t>SAB</t>
        </is>
      </c>
      <c r="H78" s="31" t="inlineStr">
        <is>
          <t>DOM</t>
        </is>
      </c>
    </row>
    <row r="79" ht="40" customHeight="1">
      <c r="A79" s="32" t="inlineStr">
        <is>
          <t>sett. 1</t>
        </is>
      </c>
      <c r="B79" s="41" t="inlineStr">
        <is>
          <t>1</t>
        </is>
      </c>
      <c r="C79" s="41" t="inlineStr">
        <is>
          <t>2</t>
        </is>
      </c>
      <c r="D79" s="45" t="inlineStr">
        <is>
          <t>3
RIPOSO
(investimento)</t>
        </is>
      </c>
      <c r="E79" s="41" t="inlineStr">
        <is>
          <t>4</t>
        </is>
      </c>
      <c r="F79" s="41" t="inlineStr">
        <is>
          <t>5</t>
        </is>
      </c>
      <c r="G79" s="41" t="inlineStr">
        <is>
          <t>6</t>
        </is>
      </c>
      <c r="H79" s="42" t="inlineStr">
        <is>
          <t>7
G24 · FUORI
Dragons Offanengo</t>
        </is>
      </c>
    </row>
    <row r="80" ht="40" customHeight="1">
      <c r="A80" s="32" t="inlineStr">
        <is>
          <t>sett. 2</t>
        </is>
      </c>
      <c r="B80" s="41" t="inlineStr">
        <is>
          <t>8</t>
        </is>
      </c>
      <c r="C80" s="41" t="inlineStr">
        <is>
          <t>9</t>
        </is>
      </c>
      <c r="D80" s="41" t="inlineStr">
        <is>
          <t>10</t>
        </is>
      </c>
      <c r="E80" s="41" t="inlineStr">
        <is>
          <t>11</t>
        </is>
      </c>
      <c r="F80" s="41" t="inlineStr">
        <is>
          <t>12</t>
        </is>
      </c>
      <c r="G80" s="41" t="inlineStr">
        <is>
          <t>13</t>
        </is>
      </c>
      <c r="H80" s="42" t="inlineStr">
        <is>
          <t>14
G25 · FUORI
Clai Imola Volley</t>
        </is>
      </c>
    </row>
    <row r="81" ht="40" customHeight="1">
      <c r="A81" s="32" t="inlineStr">
        <is>
          <t>sett. 3</t>
        </is>
      </c>
      <c r="B81" s="41" t="inlineStr">
        <is>
          <t>15</t>
        </is>
      </c>
      <c r="C81" s="41" t="inlineStr">
        <is>
          <t>16</t>
        </is>
      </c>
      <c r="D81" s="41" t="inlineStr">
        <is>
          <t>17</t>
        </is>
      </c>
      <c r="E81" s="41" t="inlineStr">
        <is>
          <t>18</t>
        </is>
      </c>
      <c r="F81" s="41" t="inlineStr">
        <is>
          <t>19</t>
        </is>
      </c>
      <c r="G81" s="41" t="inlineStr">
        <is>
          <t>20</t>
        </is>
      </c>
      <c r="H81" s="42" t="inlineStr">
        <is>
          <t>21
G26 · CASA
Club Italia</t>
        </is>
      </c>
    </row>
    <row r="82" ht="40" customHeight="1">
      <c r="A82" s="32" t="inlineStr">
        <is>
          <t>sett. 4</t>
        </is>
      </c>
      <c r="B82" s="41" t="inlineStr">
        <is>
          <t>22</t>
        </is>
      </c>
      <c r="C82" s="41" t="inlineStr">
        <is>
          <t>23</t>
        </is>
      </c>
      <c r="D82" s="41" t="inlineStr">
        <is>
          <t>24</t>
        </is>
      </c>
      <c r="E82" s="41" t="inlineStr">
        <is>
          <t>25</t>
        </is>
      </c>
      <c r="F82" s="41" t="inlineStr">
        <is>
          <t>26</t>
        </is>
      </c>
      <c r="G82" s="41" t="inlineStr">
        <is>
          <t>27</t>
        </is>
      </c>
      <c r="H82" s="44" t="inlineStr">
        <is>
          <t>28
G27 · FUORI
Itas Trentino</t>
        </is>
      </c>
    </row>
    <row r="84" ht="20" customHeight="1">
      <c r="A84" s="29" t="inlineStr">
        <is>
          <t>MARZO 2027</t>
        </is>
      </c>
    </row>
    <row r="85" ht="16" customHeight="1">
      <c r="A85" s="30" t="inlineStr"/>
      <c r="B85" s="31" t="inlineStr">
        <is>
          <t>LUN</t>
        </is>
      </c>
      <c r="C85" s="31" t="inlineStr">
        <is>
          <t>MAR</t>
        </is>
      </c>
      <c r="D85" s="31" t="inlineStr">
        <is>
          <t>MER</t>
        </is>
      </c>
      <c r="E85" s="31" t="inlineStr">
        <is>
          <t>GIO</t>
        </is>
      </c>
      <c r="F85" s="31" t="inlineStr">
        <is>
          <t>VEN</t>
        </is>
      </c>
      <c r="G85" s="31" t="inlineStr">
        <is>
          <t>SAB</t>
        </is>
      </c>
      <c r="H85" s="31" t="inlineStr">
        <is>
          <t>DOM</t>
        </is>
      </c>
    </row>
    <row r="86" ht="40" customHeight="1">
      <c r="A86" s="32" t="inlineStr">
        <is>
          <t>sett. 1</t>
        </is>
      </c>
      <c r="B86" s="43" t="inlineStr">
        <is>
          <t>1</t>
        </is>
      </c>
      <c r="C86" s="43" t="inlineStr">
        <is>
          <t>2</t>
        </is>
      </c>
      <c r="D86" s="44" t="inlineStr">
        <is>
          <t>3
G28 · FUORI
Olio Pantaleo Volley Fasan</t>
        </is>
      </c>
      <c r="E86" s="43" t="inlineStr">
        <is>
          <t>4</t>
        </is>
      </c>
      <c r="F86" s="43" t="inlineStr">
        <is>
          <t>5</t>
        </is>
      </c>
      <c r="G86" s="43" t="inlineStr">
        <is>
          <t>6</t>
        </is>
      </c>
      <c r="H86" s="44" t="inlineStr">
        <is>
          <t>7
G29 · CASA
Narconon Volley Melendugno</t>
        </is>
      </c>
    </row>
    <row r="87" ht="40" customHeight="1">
      <c r="A87" s="32" t="inlineStr">
        <is>
          <t>sett. 2</t>
        </is>
      </c>
      <c r="B87" s="41" t="inlineStr">
        <is>
          <t>8</t>
        </is>
      </c>
      <c r="C87" s="41" t="inlineStr">
        <is>
          <t>9</t>
        </is>
      </c>
      <c r="D87" s="41" t="inlineStr">
        <is>
          <t>10</t>
        </is>
      </c>
      <c r="E87" s="41" t="inlineStr">
        <is>
          <t>11</t>
        </is>
      </c>
      <c r="F87" s="41" t="inlineStr">
        <is>
          <t>12</t>
        </is>
      </c>
      <c r="G87" s="41" t="inlineStr">
        <is>
          <t>13</t>
        </is>
      </c>
      <c r="H87" s="42" t="inlineStr">
        <is>
          <t>14
G30 · FUORI
Wash4Green Monviso Volley</t>
        </is>
      </c>
    </row>
    <row r="88" ht="40" customHeight="1">
      <c r="A88" s="32" t="inlineStr">
        <is>
          <t>sett. 3</t>
        </is>
      </c>
      <c r="B88" s="41" t="inlineStr">
        <is>
          <t>15</t>
        </is>
      </c>
      <c r="C88" s="41" t="inlineStr">
        <is>
          <t>16</t>
        </is>
      </c>
      <c r="D88" s="41" t="inlineStr">
        <is>
          <t>17</t>
        </is>
      </c>
      <c r="E88" s="41" t="inlineStr">
        <is>
          <t>18</t>
        </is>
      </c>
      <c r="F88" s="41" t="inlineStr">
        <is>
          <t>19</t>
        </is>
      </c>
      <c r="G88" s="41" t="inlineStr">
        <is>
          <t>20</t>
        </is>
      </c>
      <c r="H88" s="42" t="inlineStr">
        <is>
          <t>21
G31 · CASA
VBC Cremonese</t>
        </is>
      </c>
    </row>
    <row r="89" ht="40" customHeight="1">
      <c r="A89" s="32" t="inlineStr">
        <is>
          <t>sett. 4</t>
        </is>
      </c>
      <c r="B89" s="41" t="inlineStr">
        <is>
          <t>22</t>
        </is>
      </c>
      <c r="C89" s="41" t="inlineStr">
        <is>
          <t>23</t>
        </is>
      </c>
      <c r="D89" s="41" t="inlineStr">
        <is>
          <t>24</t>
        </is>
      </c>
      <c r="E89" s="41" t="inlineStr">
        <is>
          <t>25</t>
        </is>
      </c>
      <c r="F89" s="41" t="inlineStr">
        <is>
          <t>26</t>
        </is>
      </c>
      <c r="G89" s="41" t="inlineStr">
        <is>
          <t>27</t>
        </is>
      </c>
      <c r="H89" s="42" t="inlineStr">
        <is>
          <t>28
G32 · FUORI
Bartoccini +energia Perugi</t>
        </is>
      </c>
    </row>
    <row r="90" ht="40" customHeight="1">
      <c r="A90" s="32" t="inlineStr">
        <is>
          <t>sett. 5</t>
        </is>
      </c>
      <c r="B90" s="41" t="inlineStr">
        <is>
          <t>29</t>
        </is>
      </c>
      <c r="C90" s="41" t="inlineStr">
        <is>
          <t>30</t>
        </is>
      </c>
      <c r="D90" s="41" t="inlineStr">
        <is>
          <t>31</t>
        </is>
      </c>
      <c r="E90" s="33" t="inlineStr"/>
      <c r="F90" s="33" t="inlineStr"/>
      <c r="G90" s="33" t="inlineStr"/>
      <c r="H90" s="33" t="inlineStr"/>
    </row>
    <row r="92" ht="20" customHeight="1">
      <c r="A92" s="29" t="inlineStr">
        <is>
          <t>APRILE 2027</t>
        </is>
      </c>
    </row>
    <row r="93" ht="16" customHeight="1">
      <c r="A93" s="30" t="inlineStr"/>
      <c r="B93" s="31" t="inlineStr">
        <is>
          <t>LUN</t>
        </is>
      </c>
      <c r="C93" s="31" t="inlineStr">
        <is>
          <t>MAR</t>
        </is>
      </c>
      <c r="D93" s="31" t="inlineStr">
        <is>
          <t>MER</t>
        </is>
      </c>
      <c r="E93" s="31" t="inlineStr">
        <is>
          <t>GIO</t>
        </is>
      </c>
      <c r="F93" s="31" t="inlineStr">
        <is>
          <t>VEN</t>
        </is>
      </c>
      <c r="G93" s="31" t="inlineStr">
        <is>
          <t>SAB</t>
        </is>
      </c>
      <c r="H93" s="31" t="inlineStr">
        <is>
          <t>DOM</t>
        </is>
      </c>
    </row>
    <row r="94" ht="40" customHeight="1">
      <c r="A94" s="32" t="inlineStr">
        <is>
          <t>sett. 1</t>
        </is>
      </c>
      <c r="B94" s="33" t="inlineStr"/>
      <c r="C94" s="33" t="inlineStr"/>
      <c r="D94" s="33" t="inlineStr"/>
      <c r="E94" s="41" t="inlineStr">
        <is>
          <t>1</t>
        </is>
      </c>
      <c r="F94" s="41" t="inlineStr">
        <is>
          <t>2</t>
        </is>
      </c>
      <c r="G94" s="41" t="inlineStr">
        <is>
          <t>3</t>
        </is>
      </c>
      <c r="H94" s="42" t="inlineStr">
        <is>
          <t>4
G33 · FUORI
Akademia Sant'Anna Messina</t>
        </is>
      </c>
    </row>
    <row r="95" ht="40" customHeight="1">
      <c r="A95" s="32" t="inlineStr">
        <is>
          <t>sett. 2</t>
        </is>
      </c>
      <c r="B95" s="41" t="inlineStr">
        <is>
          <t>5</t>
        </is>
      </c>
      <c r="C95" s="41" t="inlineStr">
        <is>
          <t>6</t>
        </is>
      </c>
      <c r="D95" s="41" t="inlineStr">
        <is>
          <t>7</t>
        </is>
      </c>
      <c r="E95" s="41" t="inlineStr">
        <is>
          <t>8</t>
        </is>
      </c>
      <c r="F95" s="41" t="inlineStr">
        <is>
          <t>9</t>
        </is>
      </c>
      <c r="G95" s="41" t="inlineStr">
        <is>
          <t>10</t>
        </is>
      </c>
      <c r="H95" s="42" t="inlineStr">
        <is>
          <t>11
G34 · CASA
Ferraro SMI Roma Volley</t>
        </is>
      </c>
    </row>
    <row r="96" ht="40" customHeight="1">
      <c r="A96" s="32" t="inlineStr">
        <is>
          <t>sett. 3</t>
        </is>
      </c>
      <c r="B96" s="50" t="inlineStr">
        <is>
          <t>12</t>
        </is>
      </c>
      <c r="C96" s="50" t="inlineStr">
        <is>
          <t>13</t>
        </is>
      </c>
      <c r="D96" s="50" t="inlineStr">
        <is>
          <t>14</t>
        </is>
      </c>
      <c r="E96" s="50" t="inlineStr">
        <is>
          <t>15</t>
        </is>
      </c>
      <c r="F96" s="50" t="inlineStr">
        <is>
          <t>16</t>
        </is>
      </c>
      <c r="G96" s="50" t="inlineStr">
        <is>
          <t>17</t>
        </is>
      </c>
      <c r="H96" s="51" t="inlineStr">
        <is>
          <t>18
Eventuali Quarti PO</t>
        </is>
      </c>
    </row>
    <row r="97" ht="20" customHeight="1">
      <c r="A97" s="32" t="inlineStr">
        <is>
          <t>sett. 4</t>
        </is>
      </c>
      <c r="B97" s="50" t="inlineStr">
        <is>
          <t>19</t>
        </is>
      </c>
      <c r="C97" s="50" t="inlineStr">
        <is>
          <t>20</t>
        </is>
      </c>
      <c r="D97" s="50" t="inlineStr">
        <is>
          <t>21</t>
        </is>
      </c>
      <c r="E97" s="50" t="inlineStr">
        <is>
          <t>22</t>
        </is>
      </c>
      <c r="F97" s="50" t="inlineStr">
        <is>
          <t>23</t>
        </is>
      </c>
      <c r="G97" s="50" t="inlineStr">
        <is>
          <t>24</t>
        </is>
      </c>
      <c r="H97" s="50" t="inlineStr">
        <is>
          <t>25</t>
        </is>
      </c>
    </row>
    <row r="98" ht="40" customHeight="1">
      <c r="A98" s="32" t="inlineStr">
        <is>
          <t>sett. 5</t>
        </is>
      </c>
      <c r="B98" s="50" t="inlineStr">
        <is>
          <t>26</t>
        </is>
      </c>
      <c r="C98" s="50" t="inlineStr">
        <is>
          <t>27</t>
        </is>
      </c>
      <c r="D98" s="50" t="inlineStr">
        <is>
          <t>28</t>
        </is>
      </c>
      <c r="E98" s="50" t="inlineStr">
        <is>
          <t>29</t>
        </is>
      </c>
      <c r="F98" s="50" t="inlineStr">
        <is>
          <t>30</t>
        </is>
      </c>
      <c r="G98" s="33" t="inlineStr"/>
      <c r="H98" s="33" t="inlineStr"/>
    </row>
    <row r="100" ht="20" customHeight="1">
      <c r="A100" s="29" t="inlineStr">
        <is>
          <t>MAGGIO 2027</t>
        </is>
      </c>
    </row>
    <row r="101" ht="16" customHeight="1">
      <c r="A101" s="30" t="inlineStr"/>
      <c r="B101" s="31" t="inlineStr">
        <is>
          <t>LUN</t>
        </is>
      </c>
      <c r="C101" s="31" t="inlineStr">
        <is>
          <t>MAR</t>
        </is>
      </c>
      <c r="D101" s="31" t="inlineStr">
        <is>
          <t>MER</t>
        </is>
      </c>
      <c r="E101" s="31" t="inlineStr">
        <is>
          <t>GIO</t>
        </is>
      </c>
      <c r="F101" s="31" t="inlineStr">
        <is>
          <t>VEN</t>
        </is>
      </c>
      <c r="G101" s="31" t="inlineStr">
        <is>
          <t>SAB</t>
        </is>
      </c>
      <c r="H101" s="31" t="inlineStr">
        <is>
          <t>DOM</t>
        </is>
      </c>
    </row>
    <row r="102" ht="40" customHeight="1">
      <c r="A102" s="32" t="inlineStr">
        <is>
          <t>sett. 1</t>
        </is>
      </c>
      <c r="B102" s="33" t="inlineStr"/>
      <c r="C102" s="33" t="inlineStr"/>
      <c r="D102" s="33" t="inlineStr"/>
      <c r="E102" s="33" t="inlineStr"/>
      <c r="F102" s="33" t="inlineStr"/>
      <c r="G102" s="50" t="inlineStr">
        <is>
          <t>1</t>
        </is>
      </c>
      <c r="H102" s="51" t="inlineStr">
        <is>
          <t>2
Eventuali Semifinali PO</t>
        </is>
      </c>
    </row>
    <row r="103" ht="20" customHeight="1">
      <c r="A103" s="32" t="inlineStr">
        <is>
          <t>sett. 2</t>
        </is>
      </c>
      <c r="B103" s="50" t="inlineStr">
        <is>
          <t>3</t>
        </is>
      </c>
      <c r="C103" s="50" t="inlineStr">
        <is>
          <t>4</t>
        </is>
      </c>
      <c r="D103" s="50" t="inlineStr">
        <is>
          <t>5</t>
        </is>
      </c>
      <c r="E103" s="50" t="inlineStr">
        <is>
          <t>6</t>
        </is>
      </c>
      <c r="F103" s="50" t="inlineStr">
        <is>
          <t>7</t>
        </is>
      </c>
      <c r="G103" s="50" t="inlineStr">
        <is>
          <t>8</t>
        </is>
      </c>
      <c r="H103" s="50" t="inlineStr">
        <is>
          <t>9</t>
        </is>
      </c>
    </row>
    <row r="104" ht="40" customHeight="1">
      <c r="A104" s="32" t="inlineStr">
        <is>
          <t>sett. 3</t>
        </is>
      </c>
      <c r="B104" s="50" t="inlineStr">
        <is>
          <t>10</t>
        </is>
      </c>
      <c r="C104" s="50" t="inlineStr">
        <is>
          <t>11</t>
        </is>
      </c>
      <c r="D104" s="50" t="inlineStr">
        <is>
          <t>12</t>
        </is>
      </c>
      <c r="E104" s="50" t="inlineStr">
        <is>
          <t>13</t>
        </is>
      </c>
      <c r="F104" s="50" t="inlineStr">
        <is>
          <t>14</t>
        </is>
      </c>
      <c r="G104" s="50" t="inlineStr">
        <is>
          <t>15</t>
        </is>
      </c>
      <c r="H104" s="51" t="inlineStr">
        <is>
          <t>16
Eventuali Finali PO</t>
        </is>
      </c>
    </row>
    <row r="105" ht="20" customHeight="1">
      <c r="A105" s="32" t="inlineStr">
        <is>
          <t>sett. 4</t>
        </is>
      </c>
      <c r="B105" s="50" t="inlineStr">
        <is>
          <t>17</t>
        </is>
      </c>
      <c r="C105" s="50" t="inlineStr">
        <is>
          <t>18</t>
        </is>
      </c>
      <c r="D105" s="50" t="inlineStr">
        <is>
          <t>19</t>
        </is>
      </c>
      <c r="E105" s="50" t="inlineStr">
        <is>
          <t>20</t>
        </is>
      </c>
      <c r="F105" s="50" t="inlineStr">
        <is>
          <t>21</t>
        </is>
      </c>
      <c r="G105" s="50" t="inlineStr">
        <is>
          <t>22</t>
        </is>
      </c>
      <c r="H105" s="50" t="inlineStr">
        <is>
          <t>23</t>
        </is>
      </c>
    </row>
    <row r="106" ht="20" customHeight="1">
      <c r="A106" s="32" t="inlineStr">
        <is>
          <t>sett. 5</t>
        </is>
      </c>
      <c r="B106" s="50" t="inlineStr">
        <is>
          <t>24</t>
        </is>
      </c>
      <c r="C106" s="50" t="inlineStr">
        <is>
          <t>25</t>
        </is>
      </c>
      <c r="D106" s="50" t="inlineStr">
        <is>
          <t>26</t>
        </is>
      </c>
      <c r="E106" s="50" t="inlineStr">
        <is>
          <t>27</t>
        </is>
      </c>
      <c r="F106" s="50" t="inlineStr">
        <is>
          <t>28</t>
        </is>
      </c>
      <c r="G106" s="50" t="inlineStr">
        <is>
          <t>29</t>
        </is>
      </c>
      <c r="H106" s="50" t="inlineStr">
        <is>
          <t>30</t>
        </is>
      </c>
    </row>
    <row r="107" ht="20" customHeight="1">
      <c r="A107" s="32" t="inlineStr">
        <is>
          <t>sett. 6</t>
        </is>
      </c>
      <c r="B107" s="50" t="inlineStr">
        <is>
          <t>31</t>
        </is>
      </c>
      <c r="C107" s="33" t="inlineStr"/>
      <c r="D107" s="33" t="inlineStr"/>
      <c r="E107" s="33" t="inlineStr"/>
      <c r="F107" s="33" t="inlineStr"/>
      <c r="G107" s="33" t="inlineStr"/>
      <c r="H107" s="33" t="inlineStr"/>
    </row>
  </sheetData>
  <mergeCells count="50">
    <mergeCell ref="A92:H92"/>
    <mergeCell ref="D11:F11"/>
    <mergeCell ref="G12:H12"/>
    <mergeCell ref="A77:H77"/>
    <mergeCell ref="B7:C7"/>
    <mergeCell ref="F18:H18"/>
    <mergeCell ref="G11:H11"/>
    <mergeCell ref="B17:D17"/>
    <mergeCell ref="A36:H36"/>
    <mergeCell ref="F17:H17"/>
    <mergeCell ref="A1:H1"/>
    <mergeCell ref="G8:H8"/>
    <mergeCell ref="D7:F7"/>
    <mergeCell ref="A61:H61"/>
    <mergeCell ref="B12:C12"/>
    <mergeCell ref="B19:D19"/>
    <mergeCell ref="A69:H69"/>
    <mergeCell ref="G7:H7"/>
    <mergeCell ref="B11:C11"/>
    <mergeCell ref="A25:H25"/>
    <mergeCell ref="G10:H10"/>
    <mergeCell ref="D12:F12"/>
    <mergeCell ref="D9:F9"/>
    <mergeCell ref="G6:H6"/>
    <mergeCell ref="B15:D15"/>
    <mergeCell ref="D8:F8"/>
    <mergeCell ref="B8:C8"/>
    <mergeCell ref="F15:H15"/>
    <mergeCell ref="A27:H27"/>
    <mergeCell ref="A84:H84"/>
    <mergeCell ref="A21:H21"/>
    <mergeCell ref="D5:F5"/>
    <mergeCell ref="A2:H2"/>
    <mergeCell ref="B10:C10"/>
    <mergeCell ref="G5:H5"/>
    <mergeCell ref="A14:H14"/>
    <mergeCell ref="B9:C9"/>
    <mergeCell ref="B16:D16"/>
    <mergeCell ref="D10:F10"/>
    <mergeCell ref="A4:H4"/>
    <mergeCell ref="B6:C6"/>
    <mergeCell ref="F16:H16"/>
    <mergeCell ref="A100:H100"/>
    <mergeCell ref="F19:H19"/>
    <mergeCell ref="B5:C5"/>
    <mergeCell ref="A52:H52"/>
    <mergeCell ref="B18:D18"/>
    <mergeCell ref="A44:H44"/>
    <mergeCell ref="G9:H9"/>
    <mergeCell ref="D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46" customWidth="1" min="3" max="3"/>
    <col width="22" customWidth="1" min="4" max="4"/>
    <col width="34" customWidth="1" min="5" max="5"/>
  </cols>
  <sheetData>
    <row r="1" ht="28" customHeight="1">
      <c r="A1" s="52" t="inlineStr">
        <is>
          <t>PRESEASON W1-W2 — GPP / PONTE</t>
        </is>
      </c>
    </row>
    <row r="2" ht="30" customHeight="1">
      <c r="A2" s="53" t="inlineStr">
        <is>
          <t>24/08 – 06/09/2026  |  3 sedute spiaggia-mare + 2 palestra (mattina, 1h) + 5 mini sedute campo (pomeriggio, ~30')  |  La squadra arriva direttamente dalla rampa OS4: non c'e gap di detraining da colmare.</t>
        </is>
      </c>
    </row>
    <row r="4" ht="20" customHeight="1">
      <c r="A4" s="54" t="inlineStr">
        <is>
          <t>OBIETTIVI DEL CICLO</t>
        </is>
      </c>
    </row>
    <row r="5" ht="20" customHeight="1">
      <c r="A5" s="55" t="inlineStr">
        <is>
          <t>AREA</t>
        </is>
      </c>
      <c r="B5" s="55" t="inlineStr">
        <is>
          <t>PRIORITA'</t>
        </is>
      </c>
      <c r="C5" s="55" t="inlineStr">
        <is>
          <t>OBIETTIVO OPERATIVO</t>
        </is>
      </c>
      <c r="D5" s="55" t="inlineStr">
        <is>
          <t>INDICATORE</t>
        </is>
      </c>
      <c r="E5" s="55" t="inlineStr">
        <is>
          <t>NOTE</t>
        </is>
      </c>
    </row>
    <row r="6" ht="44" customHeight="1">
      <c r="A6" s="7" t="inlineStr">
        <is>
          <t>Fatica residua</t>
        </is>
      </c>
      <c r="B6" s="9" t="inlineStr">
        <is>
          <t>ALTA</t>
        </is>
      </c>
      <c r="C6" s="9" t="inlineStr">
        <is>
          <t>Dissipare la fatica accumulata nella rampa OS4 (picco 108 salti/sett.) senza perdere le intensita acquisite</t>
        </is>
      </c>
      <c r="D6" s="9" t="inlineStr">
        <is>
          <t>CMJ &gt;= 90% baseline</t>
        </is>
      </c>
      <c r="E6" s="9" t="inlineStr">
        <is>
          <t>Volume -50%, intensita mantenuta: e la logica del taper applicata alla transizione</t>
        </is>
      </c>
    </row>
    <row r="7" ht="44" customHeight="1">
      <c r="A7" s="56" t="inlineStr">
        <is>
          <t>Forza</t>
        </is>
      </c>
      <c r="B7" s="57" t="inlineStr">
        <is>
          <t>ALTA</t>
        </is>
      </c>
      <c r="C7" s="57" t="inlineStr">
        <is>
          <t>Conservare 78-80% RM sui fondamentali. Nessuna ricostruzione: si mantiene cio che l'off-season ha gia costruito</t>
        </is>
      </c>
      <c r="D7" s="57" t="inlineStr">
        <is>
          <t>Velocita barra nel profilo individuale</t>
        </is>
      </c>
      <c r="E7" s="57" t="inlineStr">
        <is>
          <t>Tetto assoluto stagione: 87%</t>
        </is>
      </c>
    </row>
    <row r="8" ht="44" customHeight="1">
      <c r="A8" s="7" t="inlineStr">
        <is>
          <t>Weightlifting</t>
        </is>
      </c>
      <c r="B8" s="9" t="inlineStr">
        <is>
          <t>MEDIA</t>
        </is>
      </c>
      <c r="C8" s="9" t="inlineStr">
        <is>
          <t>Il Clean non esce mai dal programma: slot tecnico 3x2 @70-75% per non perdere il pattern dopo il picco 90% di OS3</t>
        </is>
      </c>
      <c r="D8" s="9" t="inlineStr">
        <is>
          <t>Qualita tecnica a vista</t>
        </is>
      </c>
      <c r="E8" s="9" t="inlineStr">
        <is>
          <t>Sospenderlo 2 settimane creerebbe mini-detraining tecnico</t>
        </is>
      </c>
    </row>
    <row r="9" ht="44" customHeight="1">
      <c r="A9" s="56" t="inlineStr">
        <is>
          <t>Condizionamento</t>
        </is>
      </c>
      <c r="B9" s="57" t="inlineStr">
        <is>
          <t>ALTA</t>
        </is>
      </c>
      <c r="C9" s="57" t="inlineStr">
        <is>
          <t>Ricostruire capacita metabolica su sabbia e acqua, dove il costo in impatti articolari e minimo</t>
        </is>
      </c>
      <c r="D9" s="57" t="inlineStr">
        <is>
          <t>sRPE settimanale in range</t>
        </is>
      </c>
      <c r="E9" s="57" t="inlineStr">
        <is>
          <t>Sabbia = volume alto/impatto basso; acqua = impatto zero</t>
        </is>
      </c>
    </row>
    <row r="10" ht="44" customHeight="1">
      <c r="A10" s="7" t="inlineStr">
        <is>
          <t>Propriocezione</t>
        </is>
      </c>
      <c r="B10" s="9" t="inlineStr">
        <is>
          <t>ALTA</t>
        </is>
      </c>
      <c r="C10" s="9" t="inlineStr">
        <is>
          <t>Caviglia e piede su superficie instabile (sabbia): prevenzione della distorsione, l'infortunio acuto n.1 del volley</t>
        </is>
      </c>
      <c r="D10" s="9" t="inlineStr">
        <is>
          <t>Assenza fastidi caviglia</t>
        </is>
      </c>
      <c r="E10" s="9" t="inlineStr">
        <is>
          <t>La sabbia fa questo lavoro meglio di qualunque esercizio in sala</t>
        </is>
      </c>
    </row>
    <row r="11" ht="44" customHeight="1">
      <c r="A11" s="56" t="inlineStr">
        <is>
          <t>Esposizione al gioco</t>
        </is>
      </c>
      <c r="B11" s="57" t="inlineStr">
        <is>
          <t>MEDIA</t>
        </is>
      </c>
      <c r="C11" s="57" t="inlineStr">
        <is>
          <t>Primo contatto CONTATO col salto di gioco: 10-15 salti in W1, blocco 6v6 da 25-35 salti in W2</t>
        </is>
      </c>
      <c r="D11" s="57" t="inlineStr">
        <is>
          <t>Conteggio salti settimanale</t>
        </is>
      </c>
      <c r="E11" s="57" t="inlineStr">
        <is>
          <t>Serve a rendere legale (regola 1,5x) l'amichevole di W3</t>
        </is>
      </c>
    </row>
    <row r="13" ht="20" customHeight="1">
      <c r="A13" s="54" t="inlineStr">
        <is>
          <t>SEDUTE PROPOSTE — STRUTTURA SETTIMANALE</t>
        </is>
      </c>
    </row>
    <row r="14" ht="20" customHeight="1">
      <c r="A14" s="55" t="inlineStr">
        <is>
          <t>SEDUTA</t>
        </is>
      </c>
      <c r="B14" s="55" t="inlineStr">
        <is>
          <t>QUANDO</t>
        </is>
      </c>
      <c r="C14" s="55" t="inlineStr">
        <is>
          <t>CONTENUTO</t>
        </is>
      </c>
      <c r="D14" s="55" t="inlineStr">
        <is>
          <t>DURATA</t>
        </is>
      </c>
      <c r="E14" s="55" t="inlineStr">
        <is>
          <t>RPE / NOTE</t>
        </is>
      </c>
    </row>
    <row r="15" ht="76" customHeight="1">
      <c r="A15" s="7" t="inlineStr">
        <is>
          <t>SPIAGGIA A</t>
        </is>
      </c>
      <c r="B15" s="9" t="inlineStr">
        <is>
          <t>Lun mattina</t>
        </is>
      </c>
      <c r="C15" s="9" t="inlineStr">
        <is>
          <t>Ambientamento e mobilita 8' | piede-caviglia (cammino avampiede/tallone, equilibri monopodalici) | andature 6x20m (skip basso/alto, calciata, balzata, accosto, incrocio) | pliometria estensiva (pogo lunghi 2x12 + balzi orizzontali 2x4) | intermittente 15"/30" x5 | core e lanci MB | stretching</t>
        </is>
      </c>
      <c r="D15" s="9" t="inlineStr">
        <is>
          <t>~58'
(48' + 10' rotazione 2 sottogruppi)</t>
        </is>
      </c>
      <c r="E15" s="9" t="inlineStr">
        <is>
          <t>Picco RPE 6. Superficie instabile: contatti lunghi, NON pliometria reattiva massimale</t>
        </is>
      </c>
    </row>
    <row r="16" ht="76" customHeight="1">
      <c r="A16" s="56" t="inlineStr">
        <is>
          <t>PALESTRA P
(giorno pesante)</t>
        </is>
      </c>
      <c r="B16" s="57" t="inlineStr">
        <is>
          <t>Mar mattina</t>
        </is>
      </c>
      <c r="C16" s="57" t="inlineStr">
        <is>
          <t>Attivazione + CMJ marker | prevenzione per ruolo | Squat 4x2 @78% | superserie Row 3x5 @72% + Bench 3x5 @72% | box jump atterraggio pulito 3x3 | Pallof 2x10+10</t>
        </is>
      </c>
      <c r="D16" s="57" t="inlineStr">
        <is>
          <t>~58'
(48' + 10' cambio carichi)</t>
        </is>
      </c>
      <c r="E16" s="57" t="inlineStr">
        <is>
          <t>Max 2 blocchi RPE&gt;=7. Il piu intenso della settimana</t>
        </is>
      </c>
    </row>
    <row r="17" ht="76" customHeight="1">
      <c r="A17" s="7" t="inlineStr">
        <is>
          <t>SPIAGGIA B</t>
        </is>
      </c>
      <c r="B17" s="9" t="inlineStr">
        <is>
          <t>Mer mattina</t>
        </is>
      </c>
      <c r="C17" s="9" t="inlineStr">
        <is>
          <t>Quadrupedia (bear crawl frontale/laterale 2x10m) | skip mono doppio impulso 3x15m | balzi laterali 2x3 per lato | navette 10m x3 (5 rip, 20"/40") | lancio MB rotazionale 2x6+6</t>
        </is>
      </c>
      <c r="D17" s="9" t="inlineStr">
        <is>
          <t>~55'</t>
        </is>
      </c>
      <c r="E17" s="9" t="inlineStr">
        <is>
          <t>Variante coordinativa e laterale rispetto a Spiaggia A</t>
        </is>
      </c>
    </row>
    <row r="18" ht="76" customHeight="1">
      <c r="A18" s="56" t="inlineStr">
        <is>
          <t>PALESTRA V
(giorno veloce)</t>
        </is>
      </c>
      <c r="B18" s="57" t="inlineStr">
        <is>
          <t>Gio mattina</t>
        </is>
      </c>
      <c r="C18" s="57" t="inlineStr">
        <is>
          <t>Attivazione balistica (lanci MB, salti bassi) | Clean 3x2 @70% tecnico | Squat veloce 4x3 @60% intento massimo | superserie Push Press 3x5 + Lat/Pull-up 3x6 | drop-landing da 20cm 2x4 | Deadbug 3x30"</t>
        </is>
      </c>
      <c r="D18" s="57" t="inlineStr">
        <is>
          <t>~55'</t>
        </is>
      </c>
      <c r="E18" s="57" t="inlineStr">
        <is>
          <t>Il carico e leggero, l'intento e massimale: e questo che allena</t>
        </is>
      </c>
    </row>
    <row r="19" ht="76" customHeight="1">
      <c r="A19" s="7" t="inlineStr">
        <is>
          <t>ACQUA</t>
        </is>
      </c>
      <c r="B19" s="9" t="inlineStr">
        <is>
          <t>Ven mattina</t>
        </is>
      </c>
      <c r="C19" s="9" t="inlineStr">
        <is>
          <t>Andature in acqua 8' | corsa + nuoto 5x45"/45" | spinte-tirate-aperture contro resistenza 3x10+10 | salti ammortizzati 2x10 | torsioni 2x20 | nuoto blando 8'</t>
        </is>
      </c>
      <c r="D19" s="9" t="inlineStr">
        <is>
          <t>~55'</t>
        </is>
      </c>
      <c r="E19" s="9" t="inlineStr">
        <is>
          <t>Zero impatti. Chiude la settimana pulendo le gambe e gestendo il DOMS da sabbia</t>
        </is>
      </c>
    </row>
    <row r="20" ht="76" customHeight="1">
      <c r="A20" s="56" t="inlineStr">
        <is>
          <t>CAMPO MINI x5</t>
        </is>
      </c>
      <c r="B20" s="57" t="inlineStr">
        <is>
          <t>Pomeriggi</t>
        </is>
      </c>
      <c r="C20" s="57" t="inlineStr">
        <is>
          <t>CM1 scaletta/agility per ruolo + T-drill | CM2 gioco tecnico contato (10-15 salti) | CM3 box-panca-skimmy familiarizzazione | CM4 navette e reattivita | CM5 tecnica libera (in W2 diventa 6v6 contato 25-35 salti)</t>
        </is>
      </c>
      <c r="D20" s="57" t="inlineStr">
        <is>
          <t>~27-30' l'una</t>
        </is>
      </c>
      <c r="E20" s="57" t="inlineStr">
        <is>
          <t>Densita, non carico. Attrezzatura: cinesini, coni, elastici, MB, palloni, box, panche, skimmy, scalette</t>
        </is>
      </c>
    </row>
    <row r="22" ht="20" customHeight="1">
      <c r="A22" s="54" t="inlineStr">
        <is>
          <t>CRITICITA' E CONTROMISURE</t>
        </is>
      </c>
    </row>
    <row r="23" ht="20" customHeight="1">
      <c r="A23" s="55" t="inlineStr">
        <is>
          <t>CRITICITA'</t>
        </is>
      </c>
      <c r="B23" s="55" t="inlineStr">
        <is>
          <t>QUANDO</t>
        </is>
      </c>
      <c r="C23" s="55" t="inlineStr">
        <is>
          <t>PERCHE' E' UN PROBLEMA</t>
        </is>
      </c>
      <c r="D23" s="55" t="inlineStr">
        <is>
          <t>CONTROMISURA</t>
        </is>
      </c>
      <c r="E23" s="55" t="inlineStr">
        <is>
          <t>SEGNALE D'ALLARME</t>
        </is>
      </c>
    </row>
    <row r="24" ht="54" customHeight="1">
      <c r="A24" s="7" t="inlineStr">
        <is>
          <t>DOMS polpaccio / achilleo</t>
        </is>
      </c>
      <c r="B24" s="9" t="inlineStr">
        <is>
          <t>Prime 3 sedute sabbia</t>
        </is>
      </c>
      <c r="C24" s="9" t="inlineStr">
        <is>
          <t>La sabbia allunga i tempi di contatto e sovraccarica il tricipite surale in modo inusuale: le prime sedute costano piu di quanto sembri</t>
        </is>
      </c>
      <c r="D24" s="9" t="inlineStr">
        <is>
          <t>Partire da 30-40' di lavoro effettivo, scalzi solo progressivamente</t>
        </is>
      </c>
      <c r="E24" s="9" t="inlineStr">
        <is>
          <t>DOMS &gt; 3/10 alla terza seduta</t>
        </is>
      </c>
    </row>
    <row r="25" ht="54" customHeight="1">
      <c r="A25" s="56" t="inlineStr">
        <is>
          <t>Tentazione di 'ricostruire'</t>
        </is>
      </c>
      <c r="B25" s="57" t="inlineStr">
        <is>
          <t>Tutto il ciclo</t>
        </is>
      </c>
      <c r="C25" s="57" t="inlineStr">
        <is>
          <t>L'istinto e riempire di volume perche 'e preseason'. Ma le atlete arrivano allenate: il volume aggiunto qui e fatica, non adattamento</t>
        </is>
      </c>
      <c r="D25" s="57" t="inlineStr">
        <is>
          <t>Volume -50% con intensita mantenuta. Regola scritta, non a discrezione</t>
        </is>
      </c>
      <c r="E25" s="57" t="inlineStr">
        <is>
          <t>sRPE settimanale sopra il range atteso</t>
        </is>
      </c>
    </row>
    <row r="26" ht="54" customHeight="1">
      <c r="A26" s="7" t="inlineStr">
        <is>
          <t>Salto di carico verso W3</t>
        </is>
      </c>
      <c r="B26" s="9" t="inlineStr">
        <is>
          <t>Fine W2</t>
        </is>
      </c>
      <c r="C26" s="9" t="inlineStr">
        <is>
          <t>Senza esposizione progressiva, la prima amichevole produce un salto di carico fino a 2,4x per le centrali</t>
        </is>
      </c>
      <c r="D26" s="9" t="inlineStr">
        <is>
          <t>Blocco 6v6 contato in W2 (25-35 salti) come ponte</t>
        </is>
      </c>
      <c r="E26" s="9" t="inlineStr">
        <is>
          <t>Jump budget W2 fuori dalla curva prevista</t>
        </is>
      </c>
    </row>
    <row r="27" ht="54" customHeight="1">
      <c r="A27" s="56" t="inlineStr">
        <is>
          <t>Sabbia usata male</t>
        </is>
      </c>
      <c r="B27" s="57" t="inlineStr">
        <is>
          <t>Sedute spiaggia</t>
        </is>
      </c>
      <c r="C27" s="57" t="inlineStr">
        <is>
          <t>Usare la sabbia per pliometria reattiva massimale e un errore: i tempi di contatto sono allungati, si allena il gesto sbagliato</t>
        </is>
      </c>
      <c r="D27" s="57" t="inlineStr">
        <is>
          <t>Sabbia = estensiva e propriocezione. La reattivita si allena su superficie rigida</t>
        </is>
      </c>
      <c r="E27" s="57" t="inlineStr">
        <is>
          <t>Atterraggi 'molli' anche in palestra</t>
        </is>
      </c>
    </row>
    <row r="29" ht="20" customHeight="1">
      <c r="A29" s="54" t="inlineStr">
        <is>
          <t>STANDARD DA SUPERARE — GATE W2 → W3</t>
        </is>
      </c>
    </row>
    <row r="30" ht="20" customHeight="1">
      <c r="A30" s="55" t="inlineStr">
        <is>
          <t>MARKER</t>
        </is>
      </c>
      <c r="B30" s="55" t="inlineStr">
        <is>
          <t>QUANDO</t>
        </is>
      </c>
      <c r="C30" s="55" t="inlineStr">
        <is>
          <t>SOGLIA</t>
        </is>
      </c>
      <c r="D30" s="55" t="inlineStr">
        <is>
          <t>SE NON PASSA</t>
        </is>
      </c>
      <c r="E30" s="55" t="inlineStr">
        <is>
          <t>STRUMENTO</t>
        </is>
      </c>
    </row>
    <row r="31" ht="40" customHeight="1">
      <c r="A31" s="7" t="inlineStr">
        <is>
          <t>CMJ (3 salti, media)</t>
        </is>
      </c>
      <c r="B31" s="9" t="inlineStr">
        <is>
          <t>Lun/Mar W1 (baseline) e fine W2</t>
        </is>
      </c>
      <c r="C31" s="9" t="inlineStr">
        <is>
          <t>&gt;= baseline</t>
        </is>
      </c>
      <c r="D31" s="9" t="inlineStr">
        <is>
          <t>Si ripete la struttura W1; sabbia scala a 2 sedute + 1 acqua</t>
        </is>
      </c>
      <c r="E31" s="9" t="inlineStr">
        <is>
          <t>App (accanto a RPE/wellness)</t>
        </is>
      </c>
    </row>
    <row r="32" ht="40" customHeight="1">
      <c r="A32" s="56" t="inlineStr">
        <is>
          <t>Fastidio rotuleo</t>
        </is>
      </c>
      <c r="B32" s="57" t="inlineStr">
        <is>
          <t>Dopo il blocco 6v6 di W2</t>
        </is>
      </c>
      <c r="C32" s="57" t="inlineStr">
        <is>
          <t>Zero atlete &gt; 2/10</t>
        </is>
      </c>
      <c r="D32" s="57" t="inlineStr">
        <is>
          <t>Amichevole W3 con cap ridotto a 2-3 set/atleta, plio del giovedi dimezzata</t>
        </is>
      </c>
      <c r="E32" s="57" t="inlineStr">
        <is>
          <t>Autoriferito 0-10</t>
        </is>
      </c>
    </row>
    <row r="33" ht="40" customHeight="1">
      <c r="A33" s="7" t="inlineStr">
        <is>
          <t>DOMS polpaccio/achilleo</t>
        </is>
      </c>
      <c r="B33" s="9" t="inlineStr">
        <is>
          <t>Dopo la 3a seduta sabbia</t>
        </is>
      </c>
      <c r="C33" s="9" t="inlineStr">
        <is>
          <t>&lt;= 3/10</t>
        </is>
      </c>
      <c r="D33" s="9" t="inlineStr">
        <is>
          <t>Volume sabbia ridotto, acqua aumentata</t>
        </is>
      </c>
      <c r="E33" s="9" t="inlineStr">
        <is>
          <t>Autoriferito 0-10</t>
        </is>
      </c>
    </row>
    <row r="34" ht="40" customHeight="1">
      <c r="A34" s="56" t="inlineStr">
        <is>
          <t>Velocita barra @80%</t>
        </is>
      </c>
      <c r="B34" s="57" t="inlineStr">
        <is>
          <t>Palestra P, fine W2</t>
        </is>
      </c>
      <c r="C34" s="57" t="inlineStr">
        <is>
          <t>Dentro il profilo individuale</t>
        </is>
      </c>
      <c r="D34" s="57" t="inlineStr">
        <is>
          <t>Si ricalibra al ribasso il massimale di riferimento, non si insiste</t>
        </is>
      </c>
      <c r="E34" s="57" t="inlineStr">
        <is>
          <t>Profilo forza-velocita (VBT)</t>
        </is>
      </c>
    </row>
    <row r="35" ht="40" customHeight="1">
      <c r="A35" s="7" t="inlineStr">
        <is>
          <t>Jump budget totale</t>
        </is>
      </c>
      <c r="B35" s="9" t="inlineStr">
        <is>
          <t>Settimanale</t>
        </is>
      </c>
      <c r="C35" s="9" t="inlineStr">
        <is>
          <t>W1 ~55-65 | W2 ~95-115 (max 1,5x)</t>
        </is>
      </c>
      <c r="D35" s="9" t="inlineStr">
        <is>
          <t>Si taglia la pliometria programmata, mai il gioco</t>
        </is>
      </c>
      <c r="E35" s="9" t="inlineStr">
        <is>
          <t>Conteggio salti</t>
        </is>
      </c>
    </row>
  </sheetData>
  <mergeCells count="6">
    <mergeCell ref="A29:E29"/>
    <mergeCell ref="A4:E4"/>
    <mergeCell ref="A2:E2"/>
    <mergeCell ref="A1:E1"/>
    <mergeCell ref="A13:E13"/>
    <mergeCell ref="A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46" customWidth="1" min="3" max="3"/>
    <col width="22" customWidth="1" min="4" max="4"/>
    <col width="34" customWidth="1" min="5" max="5"/>
  </cols>
  <sheetData>
    <row r="1" ht="28" customHeight="1">
      <c r="A1" s="52" t="inlineStr">
        <is>
          <t>PRESEASON W3-W5 — SSP / CONVERSIONE</t>
        </is>
      </c>
    </row>
    <row r="2" ht="30" customHeight="1">
      <c r="A2" s="58" t="inlineStr">
        <is>
          <t>07/09 – 27/09/2026  |  3 sedute palestra + 3 mini sedute campo + 1 amichevole a settimana (sab 12/09 limitata, 19/09 e 26/09 piene)  |  Il carico di salto si sposta progressivamente dal programma al gioco.</t>
        </is>
      </c>
    </row>
    <row r="4" ht="20" customHeight="1">
      <c r="A4" s="54" t="inlineStr">
        <is>
          <t>OBIETTIVI DEL CICLO</t>
        </is>
      </c>
    </row>
    <row r="5" ht="20" customHeight="1">
      <c r="A5" s="55" t="inlineStr">
        <is>
          <t>AREA</t>
        </is>
      </c>
      <c r="B5" s="55" t="inlineStr">
        <is>
          <t>PRIORITA'</t>
        </is>
      </c>
      <c r="C5" s="55" t="inlineStr">
        <is>
          <t>OBIETTIVO OPERATIVO</t>
        </is>
      </c>
      <c r="D5" s="55" t="inlineStr">
        <is>
          <t>INDICATORE</t>
        </is>
      </c>
      <c r="E5" s="55" t="inlineStr">
        <is>
          <t>NOTE</t>
        </is>
      </c>
    </row>
    <row r="6" ht="48" customHeight="1">
      <c r="A6" s="7" t="inlineStr">
        <is>
          <t>Forza massima</t>
        </is>
      </c>
      <c r="B6" s="9" t="inlineStr">
        <is>
          <t>ALTA</t>
        </is>
      </c>
      <c r="C6" s="9" t="inlineStr">
        <is>
          <t>Tocchi pesanti a volume minimo: onda 3x(2+1) @82/85% in W3, cluster 5x1 @87% in W4 (tetto assoluto)</t>
        </is>
      </c>
      <c r="D6" s="9" t="inlineStr">
        <is>
          <t>Velocita barra nel profilo</t>
        </is>
      </c>
      <c r="E6" s="9" t="inlineStr">
        <is>
          <t>Il 90% l'hanno gia visto in OS3: non serve rivederlo, serve arrivarci fresche</t>
        </is>
      </c>
    </row>
    <row r="7" ht="48" customHeight="1">
      <c r="A7" s="56" t="inlineStr">
        <is>
          <t>Conversione velocita</t>
        </is>
      </c>
      <c r="B7" s="57" t="inlineStr">
        <is>
          <t>ALTA</t>
        </is>
      </c>
      <c r="C7" s="57" t="inlineStr">
        <is>
          <t>W5 la forza si sposta sulla barra veloce: VBT 3x2 @0,5-0,6 m/s. Clean 4x2 @82% (W4) → 5x1 @85% (W5)</t>
        </is>
      </c>
      <c r="D7" s="57" t="inlineStr">
        <is>
          <t>m/s alle soglie individuali</t>
        </is>
      </c>
      <c r="E7" s="57" t="inlineStr">
        <is>
          <t>Strumento gia in uso nel 25/26 (file PROFILO FORZA VELOCITA POTENZA)</t>
        </is>
      </c>
    </row>
    <row r="8" ht="48" customHeight="1">
      <c r="A8" s="7" t="inlineStr">
        <is>
          <t>Elastico-reattivo</t>
        </is>
      </c>
      <c r="B8" s="9" t="inlineStr">
        <is>
          <t>ALTA</t>
        </is>
      </c>
      <c r="C8" s="9" t="inlineStr">
        <is>
          <t>Drop jump da 25-30cm SOLO se il rimbalzo e elastico. Tetto 40cm. Dose differenziata per ruolo</t>
        </is>
      </c>
      <c r="D8" s="9" t="inlineStr">
        <is>
          <t>Tempo di contatto &lt; 250ms</t>
        </is>
      </c>
      <c r="E8" s="9" t="inlineStr">
        <is>
          <t>L'altezza si guadagna, non si concede col calendario</t>
        </is>
      </c>
    </row>
    <row r="9" ht="48" customHeight="1">
      <c r="A9" s="56" t="inlineStr">
        <is>
          <t>Specificita di gioco</t>
        </is>
      </c>
      <c r="B9" s="57" t="inlineStr">
        <is>
          <t>ALTA</t>
        </is>
      </c>
      <c r="C9" s="57" t="inlineStr">
        <is>
          <t>Scala simil-gara: 60% (W3, amichevole limitata) → 80% (W4) → 100% (W5 + gestione autonoma del riscaldamento)</t>
        </is>
      </c>
      <c r="D9" s="57" t="inlineStr">
        <is>
          <t>Jump budget per ruolo</t>
        </is>
      </c>
      <c r="E9" s="57" t="inlineStr">
        <is>
          <t>La partita non si prepara: si prova, a dosi crescenti</t>
        </is>
      </c>
    </row>
    <row r="10" ht="48" customHeight="1">
      <c r="A10" s="7" t="inlineStr">
        <is>
          <t>Prevenzione</t>
        </is>
      </c>
      <c r="B10" s="9" t="inlineStr">
        <is>
          <t>MEDIA</t>
        </is>
      </c>
      <c r="C10" s="9" t="inlineStr">
        <is>
          <t>Seconda onda: dalla mobilita/capacita alla FORZA NEL RANGE (cuffia sotto carico, polpaccio zavorrato, eccentrico)</t>
        </is>
      </c>
      <c r="D10" s="9" t="inlineStr">
        <is>
          <t>Assenza fastidi persistenti</t>
        </is>
      </c>
      <c r="E10" s="9" t="inlineStr">
        <is>
          <t>Vedi scheda 5 per il dettaglio per ruolo</t>
        </is>
      </c>
    </row>
    <row r="12" ht="20" customHeight="1">
      <c r="A12" s="54" t="inlineStr">
        <is>
          <t>SEDUTE PROPOSTE — STRUTTURA SETTIMANALE</t>
        </is>
      </c>
    </row>
    <row r="13" ht="20" customHeight="1">
      <c r="A13" s="55" t="inlineStr">
        <is>
          <t>SEDUTA</t>
        </is>
      </c>
      <c r="B13" s="55" t="inlineStr">
        <is>
          <t>QUANDO</t>
        </is>
      </c>
      <c r="C13" s="55" t="inlineStr">
        <is>
          <t>CONTENUTO</t>
        </is>
      </c>
      <c r="D13" s="55" t="inlineStr">
        <is>
          <t>DURATA</t>
        </is>
      </c>
      <c r="E13" s="55" t="inlineStr">
        <is>
          <t>RPE / NOTE</t>
        </is>
      </c>
    </row>
    <row r="14" ht="74" customHeight="1">
      <c r="A14" s="7" t="inlineStr">
        <is>
          <t>PALESTRA P
(forza)</t>
        </is>
      </c>
      <c r="B14" s="9" t="inlineStr">
        <is>
          <t>Lun</t>
        </is>
      </c>
      <c r="C14" s="9" t="inlineStr">
        <is>
          <t>Attivazione + CMJ marker (W3 e W5) | prevenzione ruolo (focus eccentrico/atterraggio) | Squat: W3 onda 3x(2+1) @82/85%, W4 cluster 5x1 @87%, W5 VBT 3x2 @0,5-0,6 m/s | superserie upper | box jump (dose per ruolo) | core</t>
        </is>
      </c>
      <c r="D14" s="9" t="inlineStr">
        <is>
          <t>~55'</t>
        </is>
      </c>
      <c r="E14" s="9" t="inlineStr">
        <is>
          <t>Picco RPE 7-8. Massima distanza dall'amichevole del sabato</t>
        </is>
      </c>
    </row>
    <row r="15" ht="74" customHeight="1">
      <c r="A15" s="56" t="inlineStr">
        <is>
          <t>PALESTRA V
(potenza/WL)</t>
        </is>
      </c>
      <c r="B15" s="57" t="inlineStr">
        <is>
          <t>Mer</t>
        </is>
      </c>
      <c r="C15" s="57" t="inlineStr">
        <is>
          <t>Attivazione balistica | Clean W3 4x2 @78% → W4 4x2 @82% → W5 5x1 @85% | jump squat 4-5x3 @20-25% (W5: contrasto pesante→veloce) | Push Press ss tirata | core dinamico MB</t>
        </is>
      </c>
      <c r="D15" s="57" t="inlineStr">
        <is>
          <t>~52'</t>
        </is>
      </c>
      <c r="E15" s="57" t="inlineStr">
        <is>
          <t>Esattamente 2 blocchi RPE&gt;=7 (Clean + jump squat)</t>
        </is>
      </c>
    </row>
    <row r="16" ht="74" customHeight="1">
      <c r="A16" s="7" t="inlineStr">
        <is>
          <t>PALESTRA richiamo</t>
        </is>
      </c>
      <c r="B16" s="9" t="inlineStr">
        <is>
          <t>Ven</t>
        </is>
      </c>
      <c r="C16" s="9" t="inlineStr">
        <is>
          <t>Prevenzione completa | hinge leggero 2x3 @75% | tirata 2x8 | core</t>
        </is>
      </c>
      <c r="D16" s="9" t="inlineStr">
        <is>
          <t>~40-45'</t>
        </is>
      </c>
      <c r="E16" s="9" t="inlineStr">
        <is>
          <t>ZERO SALTI. Le gambe si consegnano al sabato</t>
        </is>
      </c>
    </row>
    <row r="17" ht="74" customHeight="1">
      <c r="A17" s="56" t="inlineStr">
        <is>
          <t>CAMPO MINI 1</t>
        </is>
      </c>
      <c r="B17" s="57" t="inlineStr">
        <is>
          <t>Mar</t>
        </is>
      </c>
      <c r="C17" s="57" t="inlineStr">
        <is>
          <t>Agility e scaletta a complessita crescente: W3 pattern fisso → W4 + decisione su segnale → W5 + pallone in dual-task</t>
        </is>
      </c>
      <c r="D17" s="57" t="inlineStr">
        <is>
          <t>~27-30'</t>
        </is>
      </c>
      <c r="E17" s="57" t="inlineStr">
        <is>
          <t>RPE picco 5-6</t>
        </is>
      </c>
    </row>
    <row r="18" ht="74" customHeight="1">
      <c r="A18" s="7" t="inlineStr">
        <is>
          <t>CAMPO MINI 2</t>
        </is>
      </c>
      <c r="B18" s="9" t="inlineStr">
        <is>
          <t>Gio</t>
        </is>
      </c>
      <c r="C18" s="9" t="inlineStr">
        <is>
          <t>Blocco elastico-reattivo per ruolo (drop jump da panca + box jump; banda 3x4, centrali/palleggio 2x4) | skimmy decelerazione 2x20" per lato | simil-rally metabolico (W4) | tecnica 8'</t>
        </is>
      </c>
      <c r="D18" s="9" t="inlineStr">
        <is>
          <t>~28-30'</t>
        </is>
      </c>
      <c r="E18" s="9" t="inlineStr">
        <is>
          <t>Unico blocco RPE 7 della giornata</t>
        </is>
      </c>
    </row>
    <row r="19" ht="74" customHeight="1">
      <c r="A19" s="56" t="inlineStr">
        <is>
          <t>CAMPO MINI 3</t>
        </is>
      </c>
      <c r="B19" s="57" t="inlineStr">
        <is>
          <t>Sab pre-amichevole</t>
        </is>
      </c>
      <c r="C19" s="57" t="inlineStr">
        <is>
          <t>Attivazione con elastici e mobilita 8' | balzi bassi/skip 6' | gesto tecnico 6'</t>
        </is>
      </c>
      <c r="D19" s="57" t="inlineStr">
        <is>
          <t>~18-20'</t>
        </is>
      </c>
      <c r="E19" s="57" t="inlineStr">
        <is>
          <t>Deliberatamente scarico: l'amichevole e lo stimolo del giorno</t>
        </is>
      </c>
    </row>
    <row r="20" ht="74" customHeight="1">
      <c r="A20" s="7" t="inlineStr">
        <is>
          <t>AMICHEVOLE</t>
        </is>
      </c>
      <c r="B20" s="9" t="inlineStr">
        <is>
          <t>Sab</t>
        </is>
      </c>
      <c r="C20" s="9" t="inlineStr">
        <is>
          <t>12/09 LIMITATA: max 3-4 set/atleta con rotazioni programmate su centrali e palleggiatrici | 19/09 e 26/09 piene</t>
        </is>
      </c>
      <c r="D20" s="9" t="inlineStr">
        <is>
          <t>—</t>
        </is>
      </c>
      <c r="E20" s="9" t="inlineStr">
        <is>
          <t>E' il guardrail che tiene il carico dentro 1,5x</t>
        </is>
      </c>
    </row>
    <row r="22" ht="20" customHeight="1">
      <c r="A22" s="54" t="inlineStr">
        <is>
          <t>CRITICITA' E CONTROMISURE</t>
        </is>
      </c>
    </row>
    <row r="23" ht="20" customHeight="1">
      <c r="A23" s="55" t="inlineStr">
        <is>
          <t>CRITICITA'</t>
        </is>
      </c>
      <c r="B23" s="55" t="inlineStr">
        <is>
          <t>QUANDO</t>
        </is>
      </c>
      <c r="C23" s="55" t="inlineStr">
        <is>
          <t>PERCHE' E' UN PROBLEMA</t>
        </is>
      </c>
      <c r="D23" s="55" t="inlineStr">
        <is>
          <t>CONTROMISURA</t>
        </is>
      </c>
      <c r="E23" s="55" t="inlineStr">
        <is>
          <t>SEGNALE D'ALLARME</t>
        </is>
      </c>
    </row>
    <row r="24" ht="58" customHeight="1">
      <c r="A24" s="7" t="inlineStr">
        <is>
          <t>Prima amichevole = salto di carico</t>
        </is>
      </c>
      <c r="B24" s="9" t="inlineStr">
        <is>
          <t>Sab 12/09</t>
        </is>
      </c>
      <c r="C24" s="9" t="inlineStr">
        <is>
          <t>Passando da 0 a partita piena, le centrali arrivano a +2,4x di jump budget: la soglia associata in letteratura ai picchi di infortunio</t>
        </is>
      </c>
      <c r="D24" s="9" t="inlineStr">
        <is>
          <t>Partecipazione limitata a 3-4 set/atleta, rotazioni sui ruoli a piu alto costo di salto</t>
        </is>
      </c>
      <c r="E24" s="9" t="inlineStr">
        <is>
          <t>Fastidio rotuleo &gt; 2/10 a 48h</t>
        </is>
      </c>
    </row>
    <row r="25" ht="58" customHeight="1">
      <c r="A25" s="56" t="inlineStr">
        <is>
          <t>Sovrapposizione picco forza / picco gioco</t>
        </is>
      </c>
      <c r="B25" s="57" t="inlineStr">
        <is>
          <t>W4-W5</t>
        </is>
      </c>
      <c r="C25" s="57" t="inlineStr">
        <is>
          <t>Concentrare il massimo carico di forza e il massimo carico partita nella stessa settimana somma i due stress maggiori del ciclo</t>
        </is>
      </c>
      <c r="D25" s="57" t="inlineStr">
        <is>
          <t>Picco forza in W4 (87%), W5 vira sulla VBT a carico sottomassimale</t>
        </is>
      </c>
      <c r="E25" s="57" t="inlineStr">
        <is>
          <t>CMJ in calo con sRPE in salita</t>
        </is>
      </c>
    </row>
    <row r="26" ht="58" customHeight="1">
      <c r="A26" s="7" t="inlineStr">
        <is>
          <t>Overhead a piena velocita troppo presto</t>
        </is>
      </c>
      <c r="B26" s="9" t="inlineStr">
        <is>
          <t>Da W3</t>
        </is>
      </c>
      <c r="C26" s="9" t="inlineStr">
        <is>
          <t>Attacco e battuta a volume pieno dalla prima amichevole sono il modo classico di infortunare la spalla in preseason</t>
        </is>
      </c>
      <c r="D26" s="9" t="inlineStr">
        <is>
          <t>Introduzione graduale, prevenzione cuffia sotto carico in parallelo</t>
        </is>
      </c>
      <c r="E26" s="9" t="inlineStr">
        <is>
          <t>Dolore spalla in fase di caricamento</t>
        </is>
      </c>
    </row>
    <row r="27" ht="58" customHeight="1">
      <c r="A27" s="56" t="inlineStr">
        <is>
          <t>Drop jump per calendario</t>
        </is>
      </c>
      <c r="B27" s="57" t="inlineStr">
        <is>
          <t>Tutto il ciclo</t>
        </is>
      </c>
      <c r="C27" s="57" t="inlineStr">
        <is>
          <t>Alzare il box perche 'e la settimana X' e l'errore ereditato dal 25/26 (celle tempo-di-contatto vuote dal 2° microciclo, progressione andata avanti lo stesso)</t>
        </is>
      </c>
      <c r="D27" s="57" t="inlineStr">
        <is>
          <t>Si sale solo con rimbalzo elastico verificato. Tetto 40cm</t>
        </is>
      </c>
      <c r="E27" s="57" t="inlineStr">
        <is>
          <t>Tallone che collassa, contatto lungo</t>
        </is>
      </c>
    </row>
    <row r="29" ht="20" customHeight="1">
      <c r="A29" s="54" t="inlineStr">
        <is>
          <t>STANDARD DA SUPERARE — PROGRESSIONE E GATE</t>
        </is>
      </c>
    </row>
    <row r="30" ht="20" customHeight="1">
      <c r="A30" s="55" t="inlineStr">
        <is>
          <t>MARKER</t>
        </is>
      </c>
      <c r="B30" s="55" t="inlineStr">
        <is>
          <t>QUANDO</t>
        </is>
      </c>
      <c r="C30" s="55" t="inlineStr">
        <is>
          <t>SOGLIA</t>
        </is>
      </c>
      <c r="D30" s="55" t="inlineStr">
        <is>
          <t>SE NON PASSA</t>
        </is>
      </c>
      <c r="E30" s="55" t="inlineStr">
        <is>
          <t>STRUMENTO</t>
        </is>
      </c>
    </row>
    <row r="31" ht="44" customHeight="1">
      <c r="A31" s="7" t="inlineStr">
        <is>
          <t>Fastidio articolare post-amichevole</t>
        </is>
      </c>
      <c r="B31" s="9" t="inlineStr">
        <is>
          <t>48h dopo ogni amichevole</t>
        </is>
      </c>
      <c r="C31" s="9" t="inlineStr">
        <is>
          <t>Nessun fastidio NUOVO</t>
        </is>
      </c>
      <c r="D31" s="9" t="inlineStr">
        <is>
          <t>Il picco di forza slitta: W4 ripete le intensita di W3</t>
        </is>
      </c>
      <c r="E31" s="9" t="inlineStr">
        <is>
          <t>Autoriferito 0-10</t>
        </is>
      </c>
    </row>
    <row r="32" ht="44" customHeight="1">
      <c r="A32" s="56" t="inlineStr">
        <is>
          <t>Velocita @85%</t>
        </is>
      </c>
      <c r="B32" s="57" t="inlineStr">
        <is>
          <t>W4, Palestra P</t>
        </is>
      </c>
      <c r="C32" s="57" t="inlineStr">
        <is>
          <t>Dentro il profilo individuale</t>
        </is>
      </c>
      <c r="D32" s="57" t="inlineStr">
        <is>
          <t>Atleta lenta al carico = 85% reale piu basso: si ricalibra, non si insiste</t>
        </is>
      </c>
      <c r="E32" s="57" t="inlineStr">
        <is>
          <t>VBT</t>
        </is>
      </c>
    </row>
    <row r="33" ht="44" customHeight="1">
      <c r="A33" s="7" t="inlineStr">
        <is>
          <t>CMJ</t>
        </is>
      </c>
      <c r="B33" s="9" t="inlineStr">
        <is>
          <t>Lun W3 e W5</t>
        </is>
      </c>
      <c r="C33" s="9" t="inlineStr">
        <is>
          <t>Tenuto in W3; &gt;= 100% baseline verso il taper (atteso 103-105%)</t>
        </is>
      </c>
      <c r="D33" s="9" t="inlineStr">
        <is>
          <t>Il taper si esegue comunque ma piu profondo (-60% invece di -50%)</t>
        </is>
      </c>
      <c r="E33" s="9" t="inlineStr">
        <is>
          <t>App</t>
        </is>
      </c>
    </row>
    <row r="34" ht="44" customHeight="1">
      <c r="A34" s="56" t="inlineStr">
        <is>
          <t>Jump budget per ruolo</t>
        </is>
      </c>
      <c r="B34" s="57" t="inlineStr">
        <is>
          <t>Settimanale</t>
        </is>
      </c>
      <c r="C34" s="57" t="inlineStr">
        <is>
          <t>W3 112-144 | W4 121-167 | W5 125-170 (mai oltre 1,5x)</t>
        </is>
      </c>
      <c r="D34" s="57" t="inlineStr">
        <is>
          <t>Si taglia la plio programmata del giovedi, mai il gioco</t>
        </is>
      </c>
      <c r="E34" s="57" t="inlineStr">
        <is>
          <t>Conteggio salti</t>
        </is>
      </c>
    </row>
    <row r="35" ht="44" customHeight="1">
      <c r="A35" s="7" t="inlineStr">
        <is>
          <t>Tempo di contatto drop jump</t>
        </is>
      </c>
      <c r="B35" s="9" t="inlineStr">
        <is>
          <t>Ogni sessione plio</t>
        </is>
      </c>
      <c r="C35" s="9" t="inlineStr">
        <is>
          <t>&lt; 250ms (o rimbalzo elastico a vista)</t>
        </is>
      </c>
      <c r="D35" s="9" t="inlineStr">
        <is>
          <t>Il box NON sale. Si resta all'altezza precedente</t>
        </is>
      </c>
      <c r="E35" s="9" t="inlineStr">
        <is>
          <t>Cronometro / occhio del preparatore</t>
        </is>
      </c>
    </row>
  </sheetData>
  <mergeCells count="6">
    <mergeCell ref="A12:E12"/>
    <mergeCell ref="A4:E4"/>
    <mergeCell ref="A29:E29"/>
    <mergeCell ref="A2:E2"/>
    <mergeCell ref="A1:E1"/>
    <mergeCell ref="A22:E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46" customWidth="1" min="3" max="3"/>
    <col width="22" customWidth="1" min="4" max="4"/>
    <col width="34" customWidth="1" min="5" max="5"/>
  </cols>
  <sheetData>
    <row r="1" ht="28" customHeight="1">
      <c r="A1" s="52" t="inlineStr">
        <is>
          <t>PRESEASON W6 — PEAK / TAPER</t>
        </is>
      </c>
    </row>
    <row r="2" ht="30" customHeight="1">
      <c r="A2" s="59" t="inlineStr">
        <is>
          <t>28/09 – 04/10/2026  |  2 sedute palestra brevi + 2 mini sedute campo  |  PRIMA GARA: DOMENICA 04/10, trasferta a Costa Volpino. Il taper e costruito sulla domenica, non sul sabato.</t>
        </is>
      </c>
    </row>
    <row r="4" ht="20" customHeight="1">
      <c r="A4" s="54" t="inlineStr">
        <is>
          <t>OBIETTIVI DEL CICLO</t>
        </is>
      </c>
    </row>
    <row r="5" ht="20" customHeight="1">
      <c r="A5" s="55" t="inlineStr">
        <is>
          <t>AREA</t>
        </is>
      </c>
      <c r="B5" s="55" t="inlineStr">
        <is>
          <t>PRIORITA'</t>
        </is>
      </c>
      <c r="C5" s="55" t="inlineStr">
        <is>
          <t>OBIETTIVO OPERATIVO</t>
        </is>
      </c>
      <c r="D5" s="55" t="inlineStr">
        <is>
          <t>INDICATORE</t>
        </is>
      </c>
      <c r="E5" s="55" t="inlineStr">
        <is>
          <t>NOTE</t>
        </is>
      </c>
    </row>
    <row r="6" ht="42" customHeight="1">
      <c r="A6" s="7" t="inlineStr">
        <is>
          <t>Freschezza</t>
        </is>
      </c>
      <c r="B6" s="9" t="inlineStr">
        <is>
          <t>MASSIMA</t>
        </is>
      </c>
      <c r="C6" s="9" t="inlineStr">
        <is>
          <t>Volume -50% rispetto a W5, intensita e frequenza INVARIATE</t>
        </is>
      </c>
      <c r="D6" s="9" t="inlineStr">
        <is>
          <t>CMJ al picco stagionale il giovedi</t>
        </is>
      </c>
      <c r="E6" s="9" t="inlineStr">
        <is>
          <t>Il taper toglie lavoro, non toglie qualita</t>
        </is>
      </c>
    </row>
    <row r="7" ht="42" customHeight="1">
      <c r="A7" s="56" t="inlineStr">
        <is>
          <t>Mantenimento neurale</t>
        </is>
      </c>
      <c r="B7" s="57" t="inlineStr">
        <is>
          <t>ALTA</t>
        </is>
      </c>
      <c r="C7" s="57" t="inlineStr">
        <is>
          <t>Ultimo stimolo pesante giovedi (72h dalla gara), ultimi salti reattivi venerdi (48h)</t>
        </is>
      </c>
      <c r="D7" s="57" t="inlineStr">
        <is>
          <t>Prontezza a vista in campo</t>
        </is>
      </c>
      <c r="E7" s="57" t="inlineStr">
        <is>
          <t>Gara di domenica: il conto delle ore parte da li</t>
        </is>
      </c>
    </row>
    <row r="8" ht="42" customHeight="1">
      <c r="A8" s="7" t="inlineStr">
        <is>
          <t>Prevenzione</t>
        </is>
      </c>
      <c r="B8" s="9" t="inlineStr">
        <is>
          <t>ALTA</t>
        </is>
      </c>
      <c r="C8" s="9" t="inlineStr">
        <is>
          <t>Terza onda: VELOCITA NEL GESTO (overhead veloce, reattivita caviglia, tuffo e rialzata)</t>
        </is>
      </c>
      <c r="D8" s="9" t="inlineStr">
        <is>
          <t>Assenza fastidi</t>
        </is>
      </c>
      <c r="E8" s="9" t="inlineStr">
        <is>
          <t>Si finisce dove finisce la gara: nel gesto veloce</t>
        </is>
      </c>
    </row>
    <row r="9" ht="42" customHeight="1">
      <c r="A9" s="56" t="inlineStr">
        <is>
          <t>Riduzione impatti</t>
        </is>
      </c>
      <c r="B9" s="57" t="inlineStr">
        <is>
          <t>ALTA</t>
        </is>
      </c>
      <c r="C9" s="57" t="inlineStr">
        <is>
          <t>Jump budget programmato a 14 contatti in tutta la settimana</t>
        </is>
      </c>
      <c r="D9" s="57" t="inlineStr">
        <is>
          <t>Conteggio salti</t>
        </is>
      </c>
      <c r="E9" s="57" t="inlineStr">
        <is>
          <t>Tutto il resto e gia stato costruito</t>
        </is>
      </c>
    </row>
    <row r="11" ht="20" customHeight="1">
      <c r="A11" s="54" t="inlineStr">
        <is>
          <t>SEDUTE PROPOSTE — SETTIMANA DELLA PRIMA GARA</t>
        </is>
      </c>
    </row>
    <row r="12" ht="20" customHeight="1">
      <c r="A12" s="55" t="inlineStr">
        <is>
          <t>GIORNO</t>
        </is>
      </c>
      <c r="B12" s="55" t="inlineStr">
        <is>
          <t>SEDUTA</t>
        </is>
      </c>
      <c r="C12" s="55" t="inlineStr">
        <is>
          <t>CONTENUTO</t>
        </is>
      </c>
      <c r="D12" s="55" t="inlineStr">
        <is>
          <t>DURATA</t>
        </is>
      </c>
      <c r="E12" s="55" t="inlineStr">
        <is>
          <t>NOTE</t>
        </is>
      </c>
    </row>
    <row r="13" ht="34" customHeight="1">
      <c r="A13" s="7" t="inlineStr">
        <is>
          <t>Lun 28/09</t>
        </is>
      </c>
      <c r="B13" s="9" t="inlineStr">
        <is>
          <t>Recupero attivo</t>
        </is>
      </c>
      <c r="C13" s="9" t="inlineStr">
        <is>
          <t>Mobilita libera, decompressione. Nessun carico</t>
        </is>
      </c>
      <c r="D13" s="9" t="inlineStr">
        <is>
          <t>~30' libera</t>
        </is>
      </c>
      <c r="E13" s="9" t="inlineStr">
        <is>
          <t>Si smaltisce W5, la settimana piu carica del ciclo</t>
        </is>
      </c>
    </row>
    <row r="14" ht="34" customHeight="1">
      <c r="A14" s="56" t="inlineStr">
        <is>
          <t>Mar 29/09</t>
        </is>
      </c>
      <c r="B14" s="57" t="inlineStr">
        <is>
          <t>PALESTRA P breve</t>
        </is>
      </c>
      <c r="C14" s="57" t="inlineStr">
        <is>
          <t>Attivazione 8' | Squat 2x2 @80% | Row o Bench 2x4 @70% | core 2x30"</t>
        </is>
      </c>
      <c r="D14" s="57" t="inlineStr">
        <is>
          <t>~35'</t>
        </is>
      </c>
      <c r="E14" s="57" t="inlineStr">
        <is>
          <t>Intensita quasi invariata, volume dimezzato</t>
        </is>
      </c>
    </row>
    <row r="15" ht="34" customHeight="1">
      <c r="A15" s="7" t="inlineStr">
        <is>
          <t>Mer 30/09</t>
        </is>
      </c>
      <c r="B15" s="9" t="inlineStr">
        <is>
          <t>CAMPO MINI attivazione</t>
        </is>
      </c>
      <c r="C15" s="9" t="inlineStr">
        <is>
          <t>Elastici e mobilita 8' | salti reattivi box basso 2x4 | tecnica leggera 8'</t>
        </is>
      </c>
      <c r="D15" s="9" t="inlineStr">
        <is>
          <t>~20'</t>
        </is>
      </c>
      <c r="E15" s="9" t="inlineStr">
        <is>
          <t>Richiamo, non accumulo</t>
        </is>
      </c>
    </row>
    <row r="16" ht="34" customHeight="1">
      <c r="A16" s="56" t="inlineStr">
        <is>
          <t>Gio 01/10</t>
        </is>
      </c>
      <c r="B16" s="57" t="inlineStr">
        <is>
          <t>PALESTRA V breve — 72h</t>
        </is>
      </c>
      <c r="C16" s="57" t="inlineStr">
        <is>
          <t>Attivazione balistica 6' | Clean 2x2 @75% veloce | jump squat 2x3 @20% | core 6'</t>
        </is>
      </c>
      <c r="D16" s="57" t="inlineStr">
        <is>
          <t>~30'</t>
        </is>
      </c>
      <c r="E16" s="57" t="inlineStr">
        <is>
          <t>ULTIMO STIMOLO NERVOSO PESANTE del ciclo</t>
        </is>
      </c>
    </row>
    <row r="17" ht="34" customHeight="1">
      <c r="A17" s="7" t="inlineStr">
        <is>
          <t>Ven 02/10</t>
        </is>
      </c>
      <c r="B17" s="9" t="inlineStr">
        <is>
          <t>CAMPO MINI richiamo — 48h</t>
        </is>
      </c>
      <c r="C17" s="9" t="inlineStr">
        <is>
          <t>Elastici 8' | salti reattivi 2x3 box basso | tecnica leggera 8'</t>
        </is>
      </c>
      <c r="D17" s="9" t="inlineStr">
        <is>
          <t>~20'</t>
        </is>
      </c>
      <c r="E17" s="9" t="inlineStr">
        <is>
          <t>ULTIMI CONTATTI ad alto impatto prima della gara</t>
        </is>
      </c>
    </row>
    <row r="18" ht="34" customHeight="1">
      <c r="A18" s="56" t="inlineStr">
        <is>
          <t>Sab 03/10</t>
        </is>
      </c>
      <c r="B18" s="57" t="inlineStr">
        <is>
          <t>Scarico / walkthrough</t>
        </is>
      </c>
      <c r="C18" s="57" t="inlineStr">
        <is>
          <t>Nessun lavoro fisico dedicato. Rifinitura tecnica del coach + viaggio</t>
        </is>
      </c>
      <c r="D18" s="57" t="inlineStr">
        <is>
          <t>—</t>
        </is>
      </c>
      <c r="E18" s="57" t="inlineStr">
        <is>
          <t>Prontezza, non fatica. Trasferta: gestione viaggio</t>
        </is>
      </c>
    </row>
    <row r="19" ht="34" customHeight="1">
      <c r="A19" s="7" t="inlineStr">
        <is>
          <t>DOM 04/10</t>
        </is>
      </c>
      <c r="B19" s="9" t="inlineStr">
        <is>
          <t>GARA 1a giornata</t>
        </is>
      </c>
      <c r="C19" s="9" t="inlineStr">
        <is>
          <t>C.B.L. Costa Volpino — FUORI</t>
        </is>
      </c>
      <c r="D19" s="9" t="inlineStr">
        <is>
          <t>—</t>
        </is>
      </c>
      <c r="E19" s="9" t="inlineStr">
        <is>
          <t>Stima carico: 50-70 contatti (banda/libero), 75-95 (centrale/palleggio)</t>
        </is>
      </c>
    </row>
    <row r="21" ht="20" customHeight="1">
      <c r="A21" s="54" t="inlineStr">
        <is>
          <t>CRITICITA' E CONTROMISURE</t>
        </is>
      </c>
    </row>
    <row r="22" ht="20" customHeight="1">
      <c r="A22" s="55" t="inlineStr">
        <is>
          <t>CRITICITA'</t>
        </is>
      </c>
      <c r="B22" s="55" t="inlineStr">
        <is>
          <t>QUANDO</t>
        </is>
      </c>
      <c r="C22" s="55" t="inlineStr">
        <is>
          <t>PERCHE' E' UN PROBLEMA</t>
        </is>
      </c>
      <c r="D22" s="55" t="inlineStr">
        <is>
          <t>CONTROMISURA</t>
        </is>
      </c>
      <c r="E22" s="55" t="inlineStr">
        <is>
          <t>SEGNALE D'ALLARME</t>
        </is>
      </c>
    </row>
    <row r="23" ht="50" customHeight="1">
      <c r="A23" s="7" t="inlineStr">
        <is>
          <t>Taper costruito sul sabato</t>
        </is>
      </c>
      <c r="B23" s="9" t="inlineStr">
        <is>
          <t>Pianificazione</t>
        </is>
      </c>
      <c r="C23" s="9" t="inlineStr">
        <is>
          <t>La gara e di DOMENICA: un taper tarato sul sabato sposta l'ultimo stimolo di 24h e arriva con un giorno di scarico in piu o in meno</t>
        </is>
      </c>
      <c r="D23" s="9" t="inlineStr">
        <is>
          <t>Ultimo stimolo pesante giovedi, ultimi salti venerdi, sabato scarico</t>
        </is>
      </c>
      <c r="E23" s="9" t="inlineStr">
        <is>
          <t>Errore di pianificazione, non di monitoraggio</t>
        </is>
      </c>
    </row>
    <row r="24" ht="50" customHeight="1">
      <c r="A24" s="56" t="inlineStr">
        <is>
          <t>Aggiungere lavoro 'per sicurezza'</t>
        </is>
      </c>
      <c r="B24" s="57" t="inlineStr">
        <is>
          <t>Settimana gara</t>
        </is>
      </c>
      <c r="C24" s="57" t="inlineStr">
        <is>
          <t>La tentazione di 'confermare' la condizione con un'ultima seduta intensa annulla il taper</t>
        </is>
      </c>
      <c r="D24" s="57" t="inlineStr">
        <is>
          <t>Il piano scritto non si tocca. Volume -50% e non negoziabile</t>
        </is>
      </c>
      <c r="E24" s="57" t="inlineStr">
        <is>
          <t>Richieste di lavoro extra dallo staff</t>
        </is>
      </c>
    </row>
    <row r="25" ht="50" customHeight="1">
      <c r="A25" s="7" t="inlineStr">
        <is>
          <t>Prima trasferta stagionale</t>
        </is>
      </c>
      <c r="B25" s="9" t="inlineStr">
        <is>
          <t>Sab-Dom</t>
        </is>
      </c>
      <c r="C25" s="9" t="inlineStr">
        <is>
          <t>Viaggio, sonno alterato, pasti fuori routine: fatica sistemica che si somma al taper</t>
        </is>
      </c>
      <c r="D25" s="9" t="inlineStr">
        <is>
          <t>Decompressione al rientro, idratazione e sonno presidiati come parte del piano</t>
        </is>
      </c>
      <c r="E25" s="9" t="inlineStr">
        <is>
          <t>Wellness in calo il giorno gara</t>
        </is>
      </c>
    </row>
    <row r="27" ht="20" customHeight="1">
      <c r="A27" s="54" t="inlineStr">
        <is>
          <t>STANDARD — GATE W5 → TAPER (verifica finale)</t>
        </is>
      </c>
    </row>
    <row r="28" ht="20" customHeight="1">
      <c r="A28" s="55" t="inlineStr">
        <is>
          <t>MARKER</t>
        </is>
      </c>
      <c r="B28" s="55" t="inlineStr">
        <is>
          <t>QUANDO</t>
        </is>
      </c>
      <c r="C28" s="55" t="inlineStr">
        <is>
          <t>SOGLIA</t>
        </is>
      </c>
      <c r="D28" s="55" t="inlineStr">
        <is>
          <t>SE NON PASSA</t>
        </is>
      </c>
      <c r="E28" s="55" t="inlineStr">
        <is>
          <t>STRUMENTO</t>
        </is>
      </c>
    </row>
    <row r="29" ht="36" customHeight="1">
      <c r="A29" s="7" t="inlineStr">
        <is>
          <t>CMJ</t>
        </is>
      </c>
      <c r="B29" s="9" t="inlineStr">
        <is>
          <t>Fine W5 e giovedi W6</t>
        </is>
      </c>
      <c r="C29" s="9" t="inlineStr">
        <is>
          <t>&gt;= 100% baseline (atteso 103-105% il giovedi)</t>
        </is>
      </c>
      <c r="D29" s="9" t="inlineStr">
        <is>
          <t>Taper piu profondo: -60% volume, plio azzerata</t>
        </is>
      </c>
      <c r="E29" s="9" t="inlineStr">
        <is>
          <t>App</t>
        </is>
      </c>
    </row>
    <row r="30" ht="36" customHeight="1">
      <c r="A30" s="56" t="inlineStr">
        <is>
          <t>Wellness</t>
        </is>
      </c>
      <c r="B30" s="57" t="inlineStr">
        <is>
          <t>Quotidiano</t>
        </is>
      </c>
      <c r="C30" s="57" t="inlineStr">
        <is>
          <t>Nessun trend negativo</t>
        </is>
      </c>
      <c r="D30" s="57" t="inlineStr">
        <is>
          <t>Si toglie la seduta di giovedi, si mantiene solo il richiamo di venerdi</t>
        </is>
      </c>
      <c r="E30" s="57" t="inlineStr">
        <is>
          <t>App</t>
        </is>
      </c>
    </row>
    <row r="31" ht="36" customHeight="1">
      <c r="A31" s="7" t="inlineStr">
        <is>
          <t>sRPE settimanale</t>
        </is>
      </c>
      <c r="B31" s="9" t="inlineStr">
        <is>
          <t>Fine W6</t>
        </is>
      </c>
      <c r="C31" s="9" t="inlineStr">
        <is>
          <t>Al minimo del ciclo</t>
        </is>
      </c>
      <c r="D31" s="9" t="inlineStr">
        <is>
          <t>—</t>
        </is>
      </c>
      <c r="E31" s="9" t="inlineStr">
        <is>
          <t>App</t>
        </is>
      </c>
    </row>
    <row r="32" ht="36" customHeight="1">
      <c r="A32" s="56" t="inlineStr">
        <is>
          <t>Jump budget</t>
        </is>
      </c>
      <c r="B32" s="57" t="inlineStr">
        <is>
          <t>W6</t>
        </is>
      </c>
      <c r="C32" s="57" t="inlineStr">
        <is>
          <t>~79-104 (banda) / 104-129 (centrale) inclusa la gara</t>
        </is>
      </c>
      <c r="D32" s="57" t="inlineStr">
        <is>
          <t>—</t>
        </is>
      </c>
      <c r="E32" s="57" t="inlineStr">
        <is>
          <t>Conteggio salti</t>
        </is>
      </c>
    </row>
  </sheetData>
  <mergeCells count="6">
    <mergeCell ref="A21:E21"/>
    <mergeCell ref="A4:E4"/>
    <mergeCell ref="A2:E2"/>
    <mergeCell ref="A11:E11"/>
    <mergeCell ref="A1:E1"/>
    <mergeCell ref="A27:E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46" customWidth="1" min="3" max="3"/>
    <col width="22" customWidth="1" min="4" max="4"/>
    <col width="34" customWidth="1" min="5" max="5"/>
  </cols>
  <sheetData>
    <row r="1" ht="28" customHeight="1">
      <c r="A1" s="52" t="inlineStr">
        <is>
          <t>IN-SEASON — SETTIMANA STANDARD (1 gara, domenica)</t>
        </is>
      </c>
    </row>
    <row r="2" ht="30" customHeight="1">
      <c r="A2" s="60" t="inlineStr">
        <is>
          <t>05/10/2026 – 11/04/2027  |  2 sedute pesi + 2 proposte pre-allenamento a settimana  |  E' l'archetipo di riferimento: tutte le altre settimane sono variazioni di questa, mai reinvenzioni.</t>
        </is>
      </c>
    </row>
    <row r="4" ht="20" customHeight="1">
      <c r="A4" s="54" t="inlineStr">
        <is>
          <t>OBIETTIVI DEL CICLO</t>
        </is>
      </c>
    </row>
    <row r="5" ht="20" customHeight="1">
      <c r="A5" s="55" t="inlineStr">
        <is>
          <t>AREA</t>
        </is>
      </c>
      <c r="B5" s="55" t="inlineStr">
        <is>
          <t>PRIORITA'</t>
        </is>
      </c>
      <c r="C5" s="55" t="inlineStr">
        <is>
          <t>OBIETTIVO OPERATIVO</t>
        </is>
      </c>
      <c r="D5" s="55" t="inlineStr">
        <is>
          <t>INDICATORE</t>
        </is>
      </c>
      <c r="E5" s="55" t="inlineStr">
        <is>
          <t>NOTE</t>
        </is>
      </c>
    </row>
    <row r="6" ht="48" customHeight="1">
      <c r="A6" s="7" t="inlineStr">
        <is>
          <t>Readiness</t>
        </is>
      </c>
      <c r="B6" s="9" t="inlineStr">
        <is>
          <t>MASSIMA</t>
        </is>
      </c>
      <c r="C6" s="9" t="inlineStr">
        <is>
          <t>Mantenere il 90% MEDIO di performance su 27 settimane. Si accettano oscillazioni, non si tollera un TREND in discesa</t>
        </is>
      </c>
      <c r="D6" s="9" t="inlineStr">
        <is>
          <t>CMJ vs media mobile 4 settimane</t>
        </is>
      </c>
      <c r="E6" s="9" t="inlineStr">
        <is>
          <t>Un calo dopo un doppio turno e normale; un trend che scende e un segnale</t>
        </is>
      </c>
    </row>
    <row r="7" ht="48" customHeight="1">
      <c r="A7" s="56" t="inlineStr">
        <is>
          <t>Forza</t>
        </is>
      </c>
      <c r="B7" s="57" t="inlineStr">
        <is>
          <t>ALTA</t>
        </is>
      </c>
      <c r="C7" s="57" t="inlineStr">
        <is>
          <t>Toccare carichi alti almeno ogni 10-14 giorni per non perdere la forza massima, che il campo da solo non allena</t>
        </is>
      </c>
      <c r="D7" s="57" t="inlineStr">
        <is>
          <t>Squat/Hinge 3x3 @78-82%</t>
        </is>
      </c>
      <c r="E7" s="57" t="inlineStr">
        <is>
          <t>In stagione il tetto scende da 87% a 82%: i carichi di gara si sommano</t>
        </is>
      </c>
    </row>
    <row r="8" ht="48" customHeight="1">
      <c r="A8" s="7" t="inlineStr">
        <is>
          <t>Potenza</t>
        </is>
      </c>
      <c r="B8" s="9" t="inlineStr">
        <is>
          <t>ALTA</t>
        </is>
      </c>
      <c r="C8" s="9" t="inlineStr">
        <is>
          <t>Un blocco veloce a settimana (Clean o jump squat alternati) per conservare la conversione costruita in preseason</t>
        </is>
      </c>
      <c r="D8" s="9" t="inlineStr">
        <is>
          <t>Velocita barra</t>
        </is>
      </c>
      <c r="E8" s="9" t="inlineStr">
        <is>
          <t>Bastano poche serie: e mantenimento, non sviluppo</t>
        </is>
      </c>
    </row>
    <row r="9" ht="48" customHeight="1">
      <c r="A9" s="56" t="inlineStr">
        <is>
          <t>Prevenzione</t>
        </is>
      </c>
      <c r="B9" s="57" t="inlineStr">
        <is>
          <t>MASSIMA</t>
        </is>
      </c>
      <c r="C9" s="57" t="inlineStr">
        <is>
          <t>Menu individuale per atleta, aggiornato ai fastidi in corso. E' il contenuto che non salta MAI, in nessun archetipo di settimana</t>
        </is>
      </c>
      <c r="D9" s="57" t="inlineStr">
        <is>
          <t>Fastidio 0-10 stabile</t>
        </is>
      </c>
      <c r="E9" s="57" t="inlineStr">
        <is>
          <t>Eredita dai fogli individuali 25/26: l'elemento piu prezioso del lavoro precedente</t>
        </is>
      </c>
    </row>
    <row r="10" ht="48" customHeight="1">
      <c r="A10" s="7" t="inlineStr">
        <is>
          <t>Gestione carico</t>
        </is>
      </c>
      <c r="B10" s="9" t="inlineStr">
        <is>
          <t>MASSIMA</t>
        </is>
      </c>
      <c r="C10" s="9" t="inlineStr">
        <is>
          <t>La densita di gare governa il carico dedicato, non il contrario</t>
        </is>
      </c>
      <c r="D10" s="9" t="inlineStr">
        <is>
          <t>Cruscotto settimanale</t>
        </is>
      </c>
      <c r="E10" s="9" t="inlineStr">
        <is>
          <t>Vedi scheda 6 per gli archetipi ad alta densita</t>
        </is>
      </c>
    </row>
    <row r="12" ht="20" customHeight="1">
      <c r="A12" s="54" t="inlineStr">
        <is>
          <t>SETTIMANA TIPO — DISTRIBUZIONE</t>
        </is>
      </c>
    </row>
    <row r="13" ht="20" customHeight="1">
      <c r="A13" s="55" t="inlineStr">
        <is>
          <t>GIORNO</t>
        </is>
      </c>
      <c r="B13" s="55" t="inlineStr">
        <is>
          <t>CONTENUTO</t>
        </is>
      </c>
      <c r="C13" s="55" t="inlineStr">
        <is>
          <t>DETTAGLIO</t>
        </is>
      </c>
      <c r="D13" s="55" t="inlineStr">
        <is>
          <t>DURATA</t>
        </is>
      </c>
      <c r="E13" s="55" t="inlineStr">
        <is>
          <t>PERCHE'</t>
        </is>
      </c>
    </row>
    <row r="14" ht="56" customHeight="1">
      <c r="A14" s="7" t="inlineStr">
        <is>
          <t>LUN (post-gara)</t>
        </is>
      </c>
      <c r="B14" s="9" t="inlineStr">
        <is>
          <t>Recupero attivo</t>
        </is>
      </c>
      <c r="C14" s="9" t="inlineStr">
        <is>
          <t>Mobilita, decompressione, nessun carico. CMJ marker + fastidio 0-10</t>
        </is>
      </c>
      <c r="D14" s="9" t="inlineStr">
        <is>
          <t>~20-30'</t>
        </is>
      </c>
      <c r="E14" s="9" t="inlineStr">
        <is>
          <t>Il corpo smaltisce: qualunque stimolo qui e sprecato o dannoso</t>
        </is>
      </c>
    </row>
    <row r="15" ht="56" customHeight="1">
      <c r="A15" s="56" t="inlineStr">
        <is>
          <t>MAR</t>
        </is>
      </c>
      <c r="B15" s="57" t="inlineStr">
        <is>
          <t>PESI A — forza/potenza</t>
        </is>
      </c>
      <c r="C15" s="57" t="inlineStr">
        <is>
          <t>Attivazione + CMJ | prevenzione ruolo | Squat o Hinge 3x3 @78-82% (alternati settimana su settimana) | Clean o jump squat 3x2 @75-80% | superserie Row+Bench 2x5 @70% | core</t>
        </is>
      </c>
      <c r="D15" s="57" t="inlineStr">
        <is>
          <t>~45-50'</t>
        </is>
      </c>
      <c r="E15" s="57" t="inlineStr">
        <is>
          <t>Massima distanza dalla gara precedente E dalla successiva: e la finestra di sicurezza</t>
        </is>
      </c>
    </row>
    <row r="16" ht="56" customHeight="1">
      <c r="A16" s="7" t="inlineStr">
        <is>
          <t>MER</t>
        </is>
      </c>
      <c r="B16" s="9" t="inlineStr">
        <is>
          <t>PRE-ALLENAMENTO 1</t>
        </is>
      </c>
      <c r="C16" s="9" t="inlineStr">
        <is>
          <t>Elastici (spalla/caviglia/anca per ruolo) | mobilita dinamica | 1 esercizio di controllo motorio (es. atterraggio monopodalico)</t>
        </is>
      </c>
      <c r="D16" s="9" t="inlineStr">
        <is>
          <t>10-12'</t>
        </is>
      </c>
      <c r="E16" s="9" t="inlineStr">
        <is>
          <t>Prepara il lavoro tecnico del giorno, non lo sostituisce</t>
        </is>
      </c>
    </row>
    <row r="17" ht="56" customHeight="1">
      <c r="A17" s="56" t="inlineStr">
        <is>
          <t>GIO</t>
        </is>
      </c>
      <c r="B17" s="57" t="inlineStr">
        <is>
          <t>PESI B — mantenimento</t>
        </is>
      </c>
      <c r="C17" s="57" t="inlineStr">
        <is>
          <t>Prevenzione ruolo | 1 fondamentale a volume ridotto 2x4 @70-72% | 1 blocco velocita/reattivita bassa dose (2x3 box jump basso o lanci MB) | core</t>
        </is>
      </c>
      <c r="D17" s="57" t="inlineStr">
        <is>
          <t>~30-35'</t>
        </is>
      </c>
      <c r="E17" s="57" t="inlineStr">
        <is>
          <t>Mai un secondo giorno pesante nella stessa settimana</t>
        </is>
      </c>
    </row>
    <row r="18" ht="56" customHeight="1">
      <c r="A18" s="7" t="inlineStr">
        <is>
          <t>VEN</t>
        </is>
      </c>
      <c r="B18" s="9" t="inlineStr">
        <is>
          <t>PRE-ALLENAMENTO 2</t>
        </is>
      </c>
      <c r="C18" s="9" t="inlineStr">
        <is>
          <t>Pochi salti reattivi bassa intensita (2x3-4 box basso) oppure scaletta/agility rapida</t>
        </is>
      </c>
      <c r="D18" s="9" t="inlineStr">
        <is>
          <t>8-10'</t>
        </is>
      </c>
      <c r="E18" s="9" t="inlineStr">
        <is>
          <t>E' un richiamo, non uno stimolo: la settimana sta gia scaricando</t>
        </is>
      </c>
    </row>
    <row r="19" ht="56" customHeight="1">
      <c r="A19" s="56" t="inlineStr">
        <is>
          <t>SAB</t>
        </is>
      </c>
      <c r="B19" s="57" t="inlineStr">
        <is>
          <t>Rifinitura tecnica</t>
        </is>
      </c>
      <c r="C19" s="57" t="inlineStr">
        <is>
          <t>Nessun lavoro fisico dedicato</t>
        </is>
      </c>
      <c r="D19" s="57" t="inlineStr">
        <is>
          <t>—</t>
        </is>
      </c>
      <c r="E19" s="57" t="inlineStr">
        <is>
          <t>Prontezza, non fatica</t>
        </is>
      </c>
    </row>
    <row r="20" ht="56" customHeight="1">
      <c r="A20" s="7" t="inlineStr">
        <is>
          <t>DOM</t>
        </is>
      </c>
      <c r="B20" s="9" t="inlineStr">
        <is>
          <t>GARA</t>
        </is>
      </c>
      <c r="C20" s="9" t="inlineStr">
        <is>
          <t>—</t>
        </is>
      </c>
      <c r="D20" s="9" t="inlineStr">
        <is>
          <t>—</t>
        </is>
      </c>
      <c r="E20" s="9" t="inlineStr">
        <is>
          <t>50-70 contatti (banda/libero) | 75-95 (centrale/palleggiatrice)</t>
        </is>
      </c>
    </row>
    <row r="22" ht="20" customHeight="1">
      <c r="A22" s="54" t="inlineStr">
        <is>
          <t>PREVENZIONE PER RUOLO — richieste sport-specifiche</t>
        </is>
      </c>
    </row>
    <row r="23" ht="20" customHeight="1">
      <c r="A23" s="55" t="inlineStr">
        <is>
          <t>RUOLO</t>
        </is>
      </c>
      <c r="B23" s="55" t="inlineStr">
        <is>
          <t>RICHIESTA DI GARA</t>
        </is>
      </c>
      <c r="C23" s="55" t="inlineStr">
        <is>
          <t>FOCUS PREVENTIVO</t>
        </is>
      </c>
      <c r="D23" s="55" t="inlineStr">
        <is>
          <t>ESEMPI DI CONTENUTO</t>
        </is>
      </c>
      <c r="E23" s="55" t="inlineStr">
        <is>
          <t>NOTE</t>
        </is>
      </c>
    </row>
    <row r="24" ht="58" customHeight="1">
      <c r="A24" s="7" t="inlineStr">
        <is>
          <t>CENTRALI</t>
        </is>
      </c>
      <c r="B24" s="9" t="inlineStr">
        <is>
          <t>Massima frequenza di salto (muro + attacco), footwork laterale corto e ripetuto</t>
        </is>
      </c>
      <c r="C24" s="9" t="inlineStr">
        <is>
          <t>Caviglia e polpaccio, reattivita laterale corta</t>
        </is>
      </c>
      <c r="D24" s="9" t="inlineStr">
        <is>
          <t>Heel raise deficit e zavorrato, step down laterale, pogo mono, atterraggi da muro</t>
        </is>
      </c>
      <c r="E24" s="9" t="inlineStr">
        <is>
          <t>Ruolo a piu alto costo di salto: -25% di plio programmata nelle settimane con gara</t>
        </is>
      </c>
    </row>
    <row r="25" ht="58" customHeight="1">
      <c r="A25" s="56" t="inlineStr">
        <is>
          <t>SCHIACCIATRICI / OPPOSTI</t>
        </is>
      </c>
      <c r="B25" s="57" t="inlineStr">
        <is>
          <t>Rincorsa lunga, carico overhead pesante (attacco + battuta)</t>
        </is>
      </c>
      <c r="C25" s="57" t="inlineStr">
        <is>
          <t>Cuffia dei rotatori, controllo scapolare, decelerazione anca-ginocchio</t>
        </is>
      </c>
      <c r="D25" s="57" t="inlineStr">
        <is>
          <t>Extrarotazioni cavo/elastico ed eccentriche, trap-3, mobilita toracica, lanci MB sopra il capo</t>
        </is>
      </c>
      <c r="E25" s="57" t="inlineStr">
        <is>
          <t>La spalla e il sito che paga il volume overhead non progressivo</t>
        </is>
      </c>
    </row>
    <row r="26" ht="58" customHeight="1">
      <c r="A26" s="7" t="inlineStr">
        <is>
          <t>PALLEGGIATRICI</t>
        </is>
      </c>
      <c r="B26" s="9" t="inlineStr">
        <is>
          <t>Altissima densita di micro-spostamenti, gesto overhead ripetuto a bassa intensita</t>
        </is>
      </c>
      <c r="C26" s="9" t="inlineStr">
        <is>
          <t>Mani, polso, avambraccio; spalla in frequenza</t>
        </is>
      </c>
      <c r="D26" s="9" t="inlineStr">
        <is>
          <t>Circonduzioni polso, presa, wrist roller, farmer sui polsi, palline reattive, dual-task</t>
        </is>
      </c>
      <c r="E26" s="9" t="inlineStr">
        <is>
          <t>Anche loro ad alto costo di salto: stesso trattamento delle centrali</t>
        </is>
      </c>
    </row>
    <row r="27" ht="58" customHeight="1">
      <c r="A27" s="56" t="inlineStr">
        <is>
          <t>LIBERO</t>
        </is>
      </c>
      <c r="B27" s="57" t="inlineStr">
        <is>
          <t>Difesa e ricezione a terra, nessun carico overhead d'attacco</t>
        </is>
      </c>
      <c r="C27" s="57" t="inlineStr">
        <is>
          <t>Ginocchio in flessione/tuffo, core anti-flessione, agility bassa</t>
        </is>
      </c>
      <c r="D27" s="57" t="inlineStr">
        <is>
          <t>Copenhagen, affondo laterale, nordic assistito, skater, cadute controllate su timing</t>
        </is>
      </c>
      <c r="E27" s="57" t="inlineStr">
        <is>
          <t>Volume di salto piu basso: puo sostenere piu plio programmata</t>
        </is>
      </c>
    </row>
    <row r="29" ht="20" customHeight="1">
      <c r="A29" s="54" t="inlineStr">
        <is>
          <t>CRUSCOTTO — 5 NUMERI, 5 DECISIONI AUTOMATICHE</t>
        </is>
      </c>
    </row>
    <row r="30" ht="20" customHeight="1">
      <c r="A30" s="55" t="inlineStr">
        <is>
          <t>STRUMENTO</t>
        </is>
      </c>
      <c r="B30" s="55" t="inlineStr">
        <is>
          <t>QUANDO</t>
        </is>
      </c>
      <c r="C30" s="55" t="inlineStr">
        <is>
          <t>SOGLIA</t>
        </is>
      </c>
      <c r="D30" s="55" t="inlineStr">
        <is>
          <t>AZIONE AUTOMATICA</t>
        </is>
      </c>
      <c r="E30" s="55" t="inlineStr">
        <is>
          <t>NOTE</t>
        </is>
      </c>
    </row>
    <row r="31" ht="44" customHeight="1">
      <c r="A31" s="7" t="inlineStr">
        <is>
          <t>CMJ (3 salti, media)</t>
        </is>
      </c>
      <c r="B31" s="9" t="inlineStr">
        <is>
          <t>Lunedi (o primo giorno post-gara)</t>
        </is>
      </c>
      <c r="C31" s="9" t="inlineStr">
        <is>
          <t>&lt; 92% della media mobile a 4 settimane</t>
        </is>
      </c>
      <c r="D31" s="9" t="inlineStr">
        <is>
          <t>La seduta pesi del martedi scala a mantenimento</t>
        </is>
      </c>
      <c r="E31" s="9" t="inlineStr">
        <is>
          <t>Gia registrabile in app accanto a RPE/wellness</t>
        </is>
      </c>
    </row>
    <row r="32" ht="44" customHeight="1">
      <c r="A32" s="56" t="inlineStr">
        <is>
          <t>sRPE seduta</t>
        </is>
      </c>
      <c r="B32" s="57" t="inlineStr">
        <is>
          <t>Ogni seduta + stima post-tecnico</t>
        </is>
      </c>
      <c r="C32" s="57" t="inlineStr">
        <is>
          <t>Somma settimanale &gt; 20% sopra la media individuale</t>
        </is>
      </c>
      <c r="D32" s="57" t="inlineStr">
        <is>
          <t>Si taglia la seconda seduta pesi (giovedi)</t>
        </is>
      </c>
      <c r="E32" s="57" t="inlineStr">
        <is>
          <t>App</t>
        </is>
      </c>
    </row>
    <row r="33" ht="44" customHeight="1">
      <c r="A33" s="7" t="inlineStr">
        <is>
          <t>Wellness (sonno, DOMS, umore, stress)</t>
        </is>
      </c>
      <c r="B33" s="9" t="inlineStr">
        <is>
          <t>Quotidiano</t>
        </is>
      </c>
      <c r="C33" s="9" t="inlineStr">
        <is>
          <t>2 giorni consecutivi in area rossa</t>
        </is>
      </c>
      <c r="D33" s="9" t="inlineStr">
        <is>
          <t>Contatto diretto staff medico: non si aspetta la seduta programmata</t>
        </is>
      </c>
      <c r="E33" s="9" t="inlineStr">
        <is>
          <t>App</t>
        </is>
      </c>
    </row>
    <row r="34" ht="44" customHeight="1">
      <c r="A34" s="56" t="inlineStr">
        <is>
          <t>Fastidio articolare 0-10</t>
        </is>
      </c>
      <c r="B34" s="57" t="inlineStr">
        <is>
          <t>Post-gara (lun) e giovedi</t>
        </is>
      </c>
      <c r="C34" s="57" t="inlineStr">
        <is>
          <t>&gt; 3/10 persistente</t>
        </is>
      </c>
      <c r="D34" s="57" t="inlineStr">
        <is>
          <t>La proposta pre-allenamento successiva diventa SOLO prevenzione, zero potenziamento</t>
        </is>
      </c>
      <c r="E34" s="57" t="inlineStr">
        <is>
          <t>Autoriferito</t>
        </is>
      </c>
    </row>
    <row r="35" ht="44" customHeight="1">
      <c r="A35" s="7" t="inlineStr">
        <is>
          <t>Velocita barra ai carichi chiave</t>
        </is>
      </c>
      <c r="B35" s="9" t="inlineStr">
        <is>
          <t>Giorni pesi</t>
        </is>
      </c>
      <c r="C35" s="9" t="inlineStr">
        <is>
          <t>Fuori dal profilo individuale</t>
        </is>
      </c>
      <c r="D35" s="9" t="inlineStr">
        <is>
          <t>Il massimale di riferimento si ricalibra al ribasso</t>
        </is>
      </c>
      <c r="E35" s="9" t="inlineStr">
        <is>
          <t>VBT</t>
        </is>
      </c>
    </row>
  </sheetData>
  <mergeCells count="6">
    <mergeCell ref="A12:E12"/>
    <mergeCell ref="A4:E4"/>
    <mergeCell ref="A29:E29"/>
    <mergeCell ref="A2:E2"/>
    <mergeCell ref="A1:E1"/>
    <mergeCell ref="A22:E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46" customWidth="1" min="3" max="3"/>
    <col width="22" customWidth="1" min="4" max="4"/>
    <col width="34" customWidth="1" min="5" max="5"/>
  </cols>
  <sheetData>
    <row r="1" ht="28" customHeight="1">
      <c r="A1" s="52" t="inlineStr">
        <is>
          <t>IN-SEASON — ARCHETIPI AD ALTA DENSITA</t>
        </is>
      </c>
    </row>
    <row r="2" ht="30" customHeight="1">
      <c r="A2" s="61" t="inlineStr">
        <is>
          <t>Le variazioni della settimana standard. Riconoscere l'archetipo dice cosa fare: nel calendario 2026/27 questi casi non sono eccezioni, sono la norma di novembre-marzo.</t>
        </is>
      </c>
    </row>
    <row r="4" ht="20" customHeight="1">
      <c r="A4" s="54" t="inlineStr">
        <is>
          <t>ARCHETIPO A — SETTIMANA DOPPIA (2 gare: infrasettimanale + domenica)</t>
        </is>
      </c>
    </row>
    <row r="5" ht="20" customHeight="1">
      <c r="A5" s="55" t="inlineStr">
        <is>
          <t>VOCE</t>
        </is>
      </c>
      <c r="B5" s="55" t="inlineStr">
        <is>
          <t>REGOLA</t>
        </is>
      </c>
      <c r="C5" s="55" t="inlineStr">
        <is>
          <t>DETTAGLIO</t>
        </is>
      </c>
      <c r="D5" s="55" t="inlineStr">
        <is>
          <t>ERRORE DA EVITARE</t>
        </is>
      </c>
      <c r="E5" s="55" t="inlineStr">
        <is>
          <t>PERCHE'</t>
        </is>
      </c>
    </row>
    <row r="6" ht="52" customHeight="1">
      <c r="A6" s="7" t="inlineStr">
        <is>
          <t>Sedute pesi</t>
        </is>
      </c>
      <c r="B6" s="9" t="inlineStr">
        <is>
          <t>UNA SOLA, di solo mantenimento</t>
        </is>
      </c>
      <c r="C6" s="9" t="inlineStr">
        <is>
          <t>Collocata nell'unica finestra a distanza di sicurezza da entrambe le gare (tipicamente gio o ven fra mercoledi e domenica)</t>
        </is>
      </c>
      <c r="D6" s="9" t="inlineStr">
        <is>
          <t>Comprimere due sedute in versioni piu corte ma di pari intensita</t>
        </is>
      </c>
      <c r="E6" s="9" t="inlineStr">
        <is>
          <t>La compressione produce fatica residua che si presenta alla gara della domenica</t>
        </is>
      </c>
    </row>
    <row r="7" ht="52" customHeight="1">
      <c r="A7" s="56" t="inlineStr">
        <is>
          <t>Pre-allenamento</t>
        </is>
      </c>
      <c r="B7" s="57" t="inlineStr">
        <is>
          <t>Entrambe di sola attivazione + prevenzione</t>
        </is>
      </c>
      <c r="C7" s="57" t="inlineStr">
        <is>
          <t>Nessun potenziamento, nessun richiamo neurale</t>
        </is>
      </c>
      <c r="D7" s="57" t="inlineStr">
        <is>
          <t>Mantenere il blocco reattivo del venerdi</t>
        </is>
      </c>
      <c r="E7" s="57" t="inlineStr">
        <is>
          <t>Non c'e margine di recupero per permetterselo</t>
        </is>
      </c>
    </row>
    <row r="8" ht="52" customHeight="1">
      <c r="A8" s="7" t="inlineStr">
        <is>
          <t>Priorita</t>
        </is>
      </c>
      <c r="B8" s="9" t="inlineStr">
        <is>
          <t>Arrivare integre alla seconda gara</t>
        </is>
      </c>
      <c r="C8" s="9" t="inlineStr">
        <is>
          <t>Il carico reale della settimana lo danno le due partite, non la palestra</t>
        </is>
      </c>
      <c r="D8" s="9" t="inlineStr">
        <is>
          <t>Allenare qualita 'perche e in programma'</t>
        </is>
      </c>
      <c r="E8" s="9" t="inlineStr">
        <is>
          <t>In questa settimana la palestra non allena: protegge</t>
        </is>
      </c>
    </row>
    <row r="10" ht="20" customHeight="1">
      <c r="A10" s="54" t="inlineStr">
        <is>
          <t>ARCHETIPO B — TRE GARE IN 7-8 GIORNI (ricorre 5 volte nel 2026/27)</t>
        </is>
      </c>
    </row>
    <row r="11" ht="20" customHeight="1">
      <c r="A11" s="55" t="inlineStr">
        <is>
          <t>VOCE</t>
        </is>
      </c>
      <c r="B11" s="55" t="inlineStr">
        <is>
          <t>REGOLA</t>
        </is>
      </c>
      <c r="C11" s="55" t="inlineStr">
        <is>
          <t>DETTAGLIO</t>
        </is>
      </c>
      <c r="D11" s="55" t="inlineStr">
        <is>
          <t>ERRORE DA EVITARE</t>
        </is>
      </c>
      <c r="E11" s="55" t="inlineStr">
        <is>
          <t>PERCHE'</t>
        </is>
      </c>
    </row>
    <row r="12" ht="58" customHeight="1">
      <c r="A12" s="7" t="inlineStr">
        <is>
          <t>Sedute pesi</t>
        </is>
      </c>
      <c r="B12" s="9" t="inlineStr">
        <is>
          <t>UNA in tutto il ciclo di 7-8 giorni</t>
        </is>
      </c>
      <c r="C12" s="9" t="inlineStr">
        <is>
          <t>Non una a settimana: ci si ancora al calendario partite, non al calendario solare. Se non esiste una finestra a &gt;= 48h da entrambe le gare adiacenti, si SALTA</t>
        </is>
      </c>
      <c r="D12" s="9" t="inlineStr">
        <is>
          <t>Mantenere il ritmo 'due a settimana' per abitudine</t>
        </is>
      </c>
      <c r="E12" s="9" t="inlineStr">
        <is>
          <t>Tre stimoli massimali in 8 giorni sono gia il carico massimo sostenibile</t>
        </is>
      </c>
    </row>
    <row r="13" ht="58" customHeight="1">
      <c r="A13" s="56" t="inlineStr">
        <is>
          <t>Pre-allenamento</t>
        </is>
      </c>
      <c r="B13" s="57" t="inlineStr">
        <is>
          <t>Interamente recupero attivo e prevenzione</t>
        </is>
      </c>
      <c r="C13" s="57" t="inlineStr">
        <is>
          <t>Al massimo un richiamo neurale di 5' (salti bassi/skip) nella finestra piu lontana dalle gare, MAI nelle 48h prima o dopo una delle tre</t>
        </is>
      </c>
      <c r="D13" s="57" t="inlineStr">
        <is>
          <t>Inserire lavoro reattivo 'per tenere attive le gambe'</t>
        </is>
      </c>
      <c r="E13" s="57" t="inlineStr">
        <is>
          <t>Le gambe sono gia attivate dalle partite</t>
        </is>
      </c>
    </row>
    <row r="14" ht="58" customHeight="1">
      <c r="A14" s="7" t="inlineStr">
        <is>
          <t>Se il cruscotto peggiora</t>
        </is>
      </c>
      <c r="B14" s="9" t="inlineStr">
        <is>
          <t>Si sacrifica la seduta pesi</t>
        </is>
      </c>
      <c r="C14" s="9" t="inlineStr">
        <is>
          <t>Mai la gara, mai la seduta tecnica col gruppo</t>
        </is>
      </c>
      <c r="D14" s="9" t="inlineStr">
        <is>
          <t>Tagliare il lavoro tecnico per 'far riposare'</t>
        </is>
      </c>
      <c r="E14" s="9" t="inlineStr">
        <is>
          <t>La palestra e la variabile di aggiustamento della stagione, non il campo</t>
        </is>
      </c>
    </row>
    <row r="15" ht="58" customHeight="1">
      <c r="A15" s="56" t="inlineStr">
        <is>
          <t>Blocchi reali 2026/27</t>
        </is>
      </c>
      <c r="B15" s="57" t="inlineStr">
        <is>
          <t>15-22/11 · 13-20/12 · 06-10/01 · 17-24/01 · 28/02-07/03</t>
        </is>
      </c>
      <c r="C15" s="57" t="inlineStr">
        <is>
          <t>Tre in tre mesi consecutivi (nov, dic, gen): e la sequenza piu dura dell'anno</t>
        </is>
      </c>
      <c r="D15" s="57" t="inlineStr">
        <is>
          <t>Trattarli come casi isolati</t>
        </is>
      </c>
      <c r="E15" s="57" t="inlineStr">
        <is>
          <t>Sono ricorrenza strutturale, non eccezione</t>
        </is>
      </c>
    </row>
    <row r="17" ht="20" customHeight="1">
      <c r="A17" s="54" t="inlineStr">
        <is>
          <t>ARCHETIPO C — TRASFERTE CONSECUTIVE</t>
        </is>
      </c>
    </row>
    <row r="18" ht="20" customHeight="1">
      <c r="A18" s="55" t="inlineStr">
        <is>
          <t>VOCE</t>
        </is>
      </c>
      <c r="B18" s="55" t="inlineStr">
        <is>
          <t>REGOLA</t>
        </is>
      </c>
      <c r="C18" s="55" t="inlineStr">
        <is>
          <t>DETTAGLIO</t>
        </is>
      </c>
      <c r="D18" s="55" t="inlineStr">
        <is>
          <t>ERRORE DA EVITARE</t>
        </is>
      </c>
      <c r="E18" s="55" t="inlineStr">
        <is>
          <t>PERCHE'</t>
        </is>
      </c>
    </row>
    <row r="19" ht="52" customHeight="1">
      <c r="A19" s="7" t="inlineStr">
        <is>
          <t>Natura del problema</t>
        </is>
      </c>
      <c r="B19" s="9" t="inlineStr">
        <is>
          <t>Fatica SISTEMICA, non solo di carico</t>
        </is>
      </c>
      <c r="C19" s="9" t="inlineStr">
        <is>
          <t>Viaggio, sonno alterato, pasti fuori routine, letto diverso: il corpo accumula fatica anche senza stimolo aggiuntivo</t>
        </is>
      </c>
      <c r="D19" s="9" t="inlineStr">
        <is>
          <t>Contare solo serie e ripetizioni</t>
        </is>
      </c>
      <c r="E19" s="9" t="inlineStr">
        <is>
          <t>Il volume di allenamento non spiega da solo la fatica di queste settimane</t>
        </is>
      </c>
    </row>
    <row r="20" ht="52" customHeight="1">
      <c r="A20" s="56" t="inlineStr">
        <is>
          <t>Contenuto delle sedute</t>
        </is>
      </c>
      <c r="B20" s="57" t="inlineStr">
        <is>
          <t>Stesso volume, contenuto diverso</t>
        </is>
      </c>
      <c r="C20" s="57" t="inlineStr">
        <is>
          <t>Meno carico assiale pesante (richiede recupero neurale che il viaggio consuma), piu decompressione (trazioni, mobilita toracica e anca)</t>
        </is>
      </c>
      <c r="D20" s="57" t="inlineStr">
        <is>
          <t>Ripetere la seduta standard identica</t>
        </is>
      </c>
      <c r="E20" s="57" t="inlineStr">
        <is>
          <t>Il recupero neurale disponibile e minore, non il tempo</t>
        </is>
      </c>
    </row>
    <row r="21" ht="52" customHeight="1">
      <c r="A21" s="7" t="inlineStr">
        <is>
          <t>Rientro</t>
        </is>
      </c>
      <c r="B21" s="9" t="inlineStr">
        <is>
          <t>8-10' di mobilita decompressiva PRIMA di qualunque altro contenuto</t>
        </is>
      </c>
      <c r="C21" s="9" t="inlineStr">
        <is>
          <t>Vale per ogni proposta pre-allenamento nei giorni di rientro</t>
        </is>
      </c>
      <c r="D21" s="9" t="inlineStr">
        <is>
          <t>Partire subito con attivazione o tecnica</t>
        </is>
      </c>
      <c r="E21" s="9" t="inlineStr">
        <is>
          <t>Il tessuto ha bisogno di essere riaperto prima di essere caricato</t>
        </is>
      </c>
    </row>
    <row r="22" ht="52" customHeight="1">
      <c r="A22" s="56" t="inlineStr">
        <is>
          <t>Presidio</t>
        </is>
      </c>
      <c r="B22" s="57" t="inlineStr">
        <is>
          <t>Idratazione e sonno sono parte del piano</t>
        </is>
      </c>
      <c r="C22" s="57" t="inlineStr">
        <is>
          <t>Non sono 'accessori': il preparatore li presidia quanto serie e ripetizioni</t>
        </is>
      </c>
      <c r="D22" s="57" t="inlineStr">
        <is>
          <t>Delegarli all'autogestione</t>
        </is>
      </c>
      <c r="E22" s="57" t="inlineStr">
        <is>
          <t>Sono le due variabili che spiegano piu varianza in trasferta</t>
        </is>
      </c>
    </row>
    <row r="23" ht="52" customHeight="1">
      <c r="A23" s="7" t="inlineStr">
        <is>
          <t>Casi reali 2026/27</t>
        </is>
      </c>
      <c r="B23" s="9" t="inlineStr">
        <is>
          <t>14+18/10 (doppia trasferta) · 28/02+03/03 · tutto il blocco 07-14/02</t>
        </is>
      </c>
      <c r="C23" s="9" t="inlineStr">
        <is>
          <t>Ottobre e il primo test: appena la settimana 3 di campionato</t>
        </is>
      </c>
      <c r="D23" s="9" t="inlineStr">
        <is>
          <t>—</t>
        </is>
      </c>
      <c r="E23" s="9" t="inlineStr">
        <is>
          <t>—</t>
        </is>
      </c>
    </row>
    <row r="25" ht="20" customHeight="1">
      <c r="A25" s="54" t="inlineStr">
        <is>
          <t>ARCHETIPO D — RIENTRO DALLA SOSTA NATALIZIA</t>
        </is>
      </c>
    </row>
    <row r="26" ht="20" customHeight="1">
      <c r="A26" s="55" t="inlineStr">
        <is>
          <t>VOCE</t>
        </is>
      </c>
      <c r="B26" s="55" t="inlineStr">
        <is>
          <t>REGOLA</t>
        </is>
      </c>
      <c r="C26" s="55" t="inlineStr">
        <is>
          <t>DETTAGLIO</t>
        </is>
      </c>
      <c r="D26" s="55" t="inlineStr">
        <is>
          <t>ERRORE DA EVITARE</t>
        </is>
      </c>
      <c r="E26" s="55" t="inlineStr">
        <is>
          <t>PERCHE'</t>
        </is>
      </c>
    </row>
    <row r="27" ht="52" customHeight="1">
      <c r="A27" s="7" t="inlineStr">
        <is>
          <t>Natura</t>
        </is>
      </c>
      <c r="B27" s="9" t="inlineStr">
        <is>
          <t>Non e preseason e non e settimana standard: e un mini ramp-up</t>
        </is>
      </c>
      <c r="C27" s="9" t="inlineStr">
        <is>
          <t>Dopo ~10 giorni di stop il sistema neuromuscolare non e pronto per i carichi pre-sosta</t>
        </is>
      </c>
      <c r="D27" s="9" t="inlineStr">
        <is>
          <t>Rientrare al 100% da subito</t>
        </is>
      </c>
      <c r="E27" s="9" t="inlineStr">
        <is>
          <t>Il rientro brusco post-sosta e la finestra a rischio piu alta di gennaio</t>
        </is>
      </c>
    </row>
    <row r="28" ht="52" customHeight="1">
      <c r="A28" s="56" t="inlineStr">
        <is>
          <t>Durante la sosta</t>
        </is>
      </c>
      <c r="B28" s="57" t="inlineStr">
        <is>
          <t>2-3 uscite libere a bassa intensita nella seconda meta</t>
        </is>
      </c>
      <c r="C28" s="57" t="inlineStr">
        <is>
          <t>Non e riposo passivo: serve a non ripartire da zero</t>
        </is>
      </c>
      <c r="D28" s="57" t="inlineStr">
        <is>
          <t>Stop totale per 10 giorni</t>
        </is>
      </c>
      <c r="E28" s="57" t="inlineStr">
        <is>
          <t>Il costo del rientro e proporzionale alla profondita dello stop</t>
        </is>
      </c>
    </row>
    <row r="29" ht="52" customHeight="1">
      <c r="A29" s="7" t="inlineStr">
        <is>
          <t>Prima settimana</t>
        </is>
      </c>
      <c r="B29" s="9" t="inlineStr">
        <is>
          <t>CMJ di controllo PRIMA di qualunque carico pesante. Pesi a intensita moderata (75%, non 82%)</t>
        </is>
      </c>
      <c r="C29" s="9" t="inlineStr">
        <is>
          <t>Prevenzione riportata a piena dose per un richiamo tissutale</t>
        </is>
      </c>
      <c r="D29" s="9" t="inlineStr">
        <is>
          <t>Riprendere dai carichi di dicembre</t>
        </is>
      </c>
      <c r="E29" s="9" t="inlineStr">
        <is>
          <t>—</t>
        </is>
      </c>
    </row>
    <row r="30" ht="52" customHeight="1">
      <c r="A30" s="56" t="inlineStr">
        <is>
          <t>PROBLEMA 2026/27</t>
        </is>
      </c>
      <c r="B30" s="57" t="inlineStr">
        <is>
          <t>Il rientro coincide con un infrasettimanale in TRASFERTA (mer 06/01 a Roma)</t>
        </is>
      </c>
      <c r="C30" s="57" t="inlineStr">
        <is>
          <t>Non c'e alcun margine per un ramp-up: i due archetipi piu esigenti si sovrappongono sulla stessa gara</t>
        </is>
      </c>
      <c r="D30" s="57" t="inlineStr">
        <is>
          <t>Fingere che sia una settimana normale</t>
        </is>
      </c>
      <c r="E30" s="57" t="inlineStr">
        <is>
          <t>Vedi scheda 7 per la gestione dettagliata di questo snodo</t>
        </is>
      </c>
    </row>
    <row r="32" ht="20" customHeight="1">
      <c r="A32" s="54" t="inlineStr">
        <is>
          <t>ARCHETIPO E — TURNO DI RIPOSO (01/11 e 03/02)</t>
        </is>
      </c>
    </row>
    <row r="33" ht="20" customHeight="1">
      <c r="A33" s="55" t="inlineStr">
        <is>
          <t>VOCE</t>
        </is>
      </c>
      <c r="B33" s="55" t="inlineStr">
        <is>
          <t>REGOLA</t>
        </is>
      </c>
      <c r="C33" s="55" t="inlineStr">
        <is>
          <t>DETTAGLIO</t>
        </is>
      </c>
      <c r="D33" s="55" t="inlineStr">
        <is>
          <t>ERRORE DA EVITARE</t>
        </is>
      </c>
      <c r="E33" s="55" t="inlineStr">
        <is>
          <t>PERCHE'</t>
        </is>
      </c>
    </row>
    <row r="34" ht="56" customHeight="1">
      <c r="A34" s="7" t="inlineStr">
        <is>
          <t>Natura</t>
        </is>
      </c>
      <c r="B34" s="9" t="inlineStr">
        <is>
          <t>Finestra di INVESTIMENTO, non di riposo</t>
        </is>
      </c>
      <c r="C34" s="9" t="inlineStr">
        <is>
          <t>E' l'unica settimana in cui il tempo non e scarso</t>
        </is>
      </c>
      <c r="D34" s="9" t="inlineStr">
        <is>
          <t>Usarla come scarico passivo</t>
        </is>
      </c>
      <c r="E34" s="9" t="inlineStr">
        <is>
          <t>Il riposo lo da l'assenza di partita, non l'assenza di lavoro</t>
        </is>
      </c>
    </row>
    <row r="35" ht="56" customHeight="1">
      <c r="A35" s="56" t="inlineStr">
        <is>
          <t>Contenuto</t>
        </is>
      </c>
      <c r="B35" s="57" t="inlineStr">
        <is>
          <t>Ri-test del profilo forza-velocita (soglie VBT) | 2 sedute pesi piu dense del solito | lavoro tissutale approfondito per chi ha accumulato fastidi</t>
        </is>
      </c>
      <c r="C35" s="57" t="inlineStr">
        <is>
          <t>Il ri-test di febbraio si confronta con quello di novembre: e l'unico dato di trend stagionale sulla forza</t>
        </is>
      </c>
      <c r="D35" s="57" t="inlineStr">
        <is>
          <t>Saltare il ri-test 'per non affaticare'</t>
        </is>
      </c>
      <c r="E35" s="57" t="inlineStr">
        <is>
          <t>Senza ri-test, le percentuali di tutto il girone di ritorno restano tarate su dati di settembre</t>
        </is>
      </c>
    </row>
    <row r="36" ht="56" customHeight="1">
      <c r="A36" s="7" t="inlineStr">
        <is>
          <t>Collocazione 2026/27</t>
        </is>
      </c>
      <c r="B36" s="9" t="inlineStr">
        <is>
          <t>01/11 (dopo il primo mese) e 03/02 (subito dopo il tratto piu duro dell'anno)</t>
        </is>
      </c>
      <c r="C36" s="9" t="inlineStr">
        <is>
          <t>Il secondo cade nel punto giusto: recupero e rilancio dopo nov-dic-gen</t>
        </is>
      </c>
      <c r="D36" s="9" t="inlineStr">
        <is>
          <t>—</t>
        </is>
      </c>
      <c r="E36" s="9" t="inlineStr">
        <is>
          <t>—</t>
        </is>
      </c>
    </row>
    <row r="38" ht="20" customHeight="1">
      <c r="A38" s="54" t="inlineStr">
        <is>
          <t>ARCHETIPO F — DERBY / GARA AD ALTO PESO EMOTIVO</t>
        </is>
      </c>
    </row>
    <row r="39" ht="20" customHeight="1">
      <c r="A39" s="55" t="inlineStr">
        <is>
          <t>VOCE</t>
        </is>
      </c>
      <c r="B39" s="55" t="inlineStr">
        <is>
          <t>REGOLA</t>
        </is>
      </c>
      <c r="C39" s="55" t="inlineStr">
        <is>
          <t>DETTAGLIO</t>
        </is>
      </c>
      <c r="D39" s="55" t="inlineStr">
        <is>
          <t>ERRORE DA EVITARE</t>
        </is>
      </c>
      <c r="E39" s="55" t="inlineStr">
        <is>
          <t>PERCHE'</t>
        </is>
      </c>
    </row>
    <row r="40" ht="52" customHeight="1">
      <c r="A40" s="7" t="inlineStr">
        <is>
          <t>Gestione fisica</t>
        </is>
      </c>
      <c r="B40" s="9" t="inlineStr">
        <is>
          <t>Identica a una settimana standard di pari densita</t>
        </is>
      </c>
      <c r="C40" s="9" t="inlineStr">
        <is>
          <t>Nulla cambia nel piano di carico</t>
        </is>
      </c>
      <c r="D40" s="9" t="inlineStr">
        <is>
          <t>Aggiungere lavoro per 'caricare' l'evento</t>
        </is>
      </c>
      <c r="E40" s="9" t="inlineStr">
        <is>
          <t>Lo stimolo psicologico lo gestisce il tecnico; il fisico deve restare invisibile</t>
        </is>
      </c>
    </row>
    <row r="41" ht="52" customHeight="1">
      <c r="A41" s="56" t="inlineStr">
        <is>
          <t>Date 2026/27</t>
        </is>
      </c>
      <c r="B41" s="57" t="inlineStr">
        <is>
          <t>Andata: SAB 26/12 in CASA (ultima gara prima della sosta) | Ritorno: DOM 04/04 in TRASFERTA</t>
        </is>
      </c>
      <c r="C41" s="57" t="inlineStr">
        <is>
          <t>L'andata arriva a 6 giorni da una tripla (13-20/12): si puo arrivare con un debito</t>
        </is>
      </c>
      <c r="D41" s="57" t="inlineStr">
        <is>
          <t>Ignorare il contesto della settimana precedente</t>
        </is>
      </c>
      <c r="E41" s="57" t="inlineStr">
        <is>
          <t>Se il cruscotto e gia negativo a dicembre, qui si taglia PREVENTIVAMENTE la seconda seduta pesi</t>
        </is>
      </c>
    </row>
  </sheetData>
  <mergeCells count="8">
    <mergeCell ref="A4:E4"/>
    <mergeCell ref="A38:E38"/>
    <mergeCell ref="A2:E2"/>
    <mergeCell ref="A10:E10"/>
    <mergeCell ref="A25:E25"/>
    <mergeCell ref="A1:E1"/>
    <mergeCell ref="A32:E32"/>
    <mergeCell ref="A17:E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46" customWidth="1" min="3" max="3"/>
    <col width="22" customWidth="1" min="4" max="4"/>
    <col width="34" customWidth="1" min="5" max="5"/>
  </cols>
  <sheetData>
    <row r="1" ht="28" customHeight="1">
      <c r="A1" s="52" t="inlineStr">
        <is>
          <t>SNODI CRITICI — CALENDARIO REALE 2026/27</t>
        </is>
      </c>
    </row>
    <row r="2" ht="30" customHeight="1">
      <c r="A2" s="62" t="inlineStr">
        <is>
          <t>I punti dove il calendario concentra il rischio. Ordine cronologico, con azione specifica e motivazione.</t>
        </is>
      </c>
    </row>
    <row r="4" ht="20" customHeight="1">
      <c r="A4" s="54" t="inlineStr">
        <is>
          <t>MAPPA DEGLI SNODI</t>
        </is>
      </c>
    </row>
    <row r="5" ht="20" customHeight="1">
      <c r="A5" s="55" t="inlineStr">
        <is>
          <t>PERIODO</t>
        </is>
      </c>
      <c r="B5" s="55" t="inlineStr">
        <is>
          <t>COSA SUCCEDE</t>
        </is>
      </c>
      <c r="C5" s="55" t="inlineStr">
        <is>
          <t>CRITICITA'</t>
        </is>
      </c>
      <c r="D5" s="55" t="inlineStr">
        <is>
          <t>COSA FARE</t>
        </is>
      </c>
      <c r="E5" s="55" t="inlineStr">
        <is>
          <t>PERCHE'</t>
        </is>
      </c>
    </row>
    <row r="6" ht="76" customHeight="1">
      <c r="A6" s="7" t="inlineStr">
        <is>
          <t>12-18/10
OTTOBRE</t>
        </is>
      </c>
      <c r="B6" s="9" t="inlineStr">
        <is>
          <t>G3 mer 14/10 Altamura FUORI + G4 dom 18/10 Altino Avastese FUORI</t>
        </is>
      </c>
      <c r="C6" s="9" t="inlineStr">
        <is>
          <t>Due gare in 4 giorni, ENTRAMBE in trasferta, appena alla settimana 3 di campionato</t>
        </is>
      </c>
      <c r="D6" s="9" t="inlineStr">
        <is>
          <t>Una sola seduta pesi (gio, mantenimento). Zero potenziamento nelle proposte campo. Decompressione da doppio viaggio</t>
        </is>
      </c>
      <c r="E6" s="9" t="inlineStr">
        <is>
          <t>Primo vero test del sistema. Se questa settimana lascia un debito, il trend si trascina in novembre</t>
        </is>
      </c>
    </row>
    <row r="7" ht="76" customHeight="1">
      <c r="A7" s="56" t="inlineStr">
        <is>
          <t>01/11
NOVEMBRE</t>
        </is>
      </c>
      <c r="B7" s="57" t="inlineStr">
        <is>
          <t>Turno di riposo</t>
        </is>
      </c>
      <c r="C7" s="57" t="inlineStr">
        <is>
          <t>Nessuna gara: unica finestra di investimento del girone d'andata</t>
        </is>
      </c>
      <c r="D7" s="57" t="inlineStr">
        <is>
          <t>Ri-test profilo forza-velocita (baseline stagionale) | 2 sedute pesi piu dense | lavoro tissutale</t>
        </is>
      </c>
      <c r="E7" s="57" t="inlineStr">
        <is>
          <t>Il ri-test qui e il riferimento con cui si confrontera quello del 03/02</t>
        </is>
      </c>
    </row>
    <row r="8" ht="76" customHeight="1">
      <c r="A8" s="7" t="inlineStr">
        <is>
          <t>15-22/11
NOVEMBRE</t>
        </is>
      </c>
      <c r="B8" s="9" t="inlineStr">
        <is>
          <t>G8 dom 15/11 Imola CASA + G9 mer 18/11 Club Italia FUORI + G10 dom 22/11 Trentino CASA</t>
        </is>
      </c>
      <c r="C8" s="9" t="inlineStr">
        <is>
          <t>PRIMA TRIPLA: 3 gare in 8 giorni, con trasferta lunga a Roma nel mezzo</t>
        </is>
      </c>
      <c r="D8" s="9" t="inlineStr">
        <is>
          <t>Una seduta pesi in tutto il blocco. Decompressione viaggio prioritaria. Cruscotto guida piu del piano</t>
        </is>
      </c>
      <c r="E8" s="9" t="inlineStr">
        <is>
          <t>Il viaggio a Roma pesa quanto il carico fisico: e fatica sistemica che si somma</t>
        </is>
      </c>
    </row>
    <row r="9" ht="76" customHeight="1">
      <c r="A9" s="56" t="inlineStr">
        <is>
          <t>13-20/12
DICEMBRE</t>
        </is>
      </c>
      <c r="B9" s="57" t="inlineStr">
        <is>
          <t>G13 dom 13/12 Monviso CASA + G14 mer 16/12 Cremonese FUORI + G15 dom 20/12 Perugia CASA</t>
        </is>
      </c>
      <c r="C9" s="57" t="inlineStr">
        <is>
          <t>SECONDA TRIPLA, e subito dopo arriva il derby: nessuna settimana-cuscinetto</t>
        </is>
      </c>
      <c r="D9" s="57" t="inlineStr">
        <is>
          <t>Una seduta pesi nel blocco. Il recupero di questa settimana condiziona come si arriva al 26/12</t>
        </is>
      </c>
      <c r="E9" s="57" t="inlineStr">
        <is>
          <t>E' peggiore della tripla di novembre proprio per cio che la segue</t>
        </is>
      </c>
    </row>
    <row r="10" ht="76" customHeight="1">
      <c r="A10" s="7" t="inlineStr">
        <is>
          <t>26/12
DICEMBRE</t>
        </is>
      </c>
      <c r="B10" s="9" t="inlineStr">
        <is>
          <t>Derby vs Akademia Sant'Anna Messina, SAB, in CASA. Ultima gara prima della sosta</t>
        </is>
      </c>
      <c r="C10" s="9" t="inlineStr">
        <is>
          <t>Derby a 6 giorni dalla tripla precedente: rischio di arrivarci con un debito gia accumulato</t>
        </is>
      </c>
      <c r="D10" s="9" t="inlineStr">
        <is>
          <t>Nessuna variazione fisica (archetipo F). Se il cruscotto e negativo da dicembre, si taglia preventivamente la seconda seduta pesi</t>
        </is>
      </c>
      <c r="E10" s="9" t="inlineStr">
        <is>
          <t>Non si carica il derby con lavoro extra: si arriva integre e il resto lo fa il gruppo</t>
        </is>
      </c>
    </row>
    <row r="11" ht="76" customHeight="1">
      <c r="A11" s="56" t="inlineStr">
        <is>
          <t>27/12 - 03/01
SOSTA</t>
        </is>
      </c>
      <c r="B11" s="57" t="inlineStr">
        <is>
          <t>Sosta natalizia (~10 giorni)</t>
        </is>
      </c>
      <c r="C11" s="57" t="inlineStr">
        <is>
          <t>Rischio di rientro brusco</t>
        </is>
      </c>
      <c r="D11" s="57" t="inlineStr">
        <is>
          <t>2-3 uscite libere a bassa intensita nella seconda meta della sosta</t>
        </is>
      </c>
      <c r="E11" s="57" t="inlineStr">
        <is>
          <t>Il costo del rientro e proporzionale alla profondita dello stop</t>
        </is>
      </c>
    </row>
    <row r="12" ht="76" customHeight="1">
      <c r="A12" s="7" t="inlineStr">
        <is>
          <t>04-10/01
GENNAIO</t>
        </is>
      </c>
      <c r="B12" s="9" t="inlineStr">
        <is>
          <t>Ripresa allenamenti + G17 MER 06/01 Roma FUORI + G18 dom 10/01 Costa Volpino CASA</t>
        </is>
      </c>
      <c r="C12" s="9" t="inlineStr">
        <is>
          <t>LA SETTIMANA PIU CRITICA DELL'ANNO: rientro dalla sosta e infrasettimanale in trasferta si sovrappongono, con zero margine di ramp-up</t>
        </is>
      </c>
      <c r="D12" s="9" t="inlineStr">
        <is>
          <t>Si ACCETTA una condizione sub-ottimale per il 06/01 (il calendario non lascia alternative) e si concentra tutta la gestione sul 10/01. Zero carico dedicato fra le due gare: solo decompressione e prevenzione</t>
        </is>
      </c>
      <c r="E12" s="9" t="inlineStr">
        <is>
          <t>Non si puo prevenire il problema, si puo solo scegliere quale delle due gare proteggere. La scelta razionale e la seconda</t>
        </is>
      </c>
    </row>
    <row r="13" ht="76" customHeight="1">
      <c r="A13" s="56" t="inlineStr">
        <is>
          <t>17-24/01
GENNAIO</t>
        </is>
      </c>
      <c r="B13" s="57" t="inlineStr">
        <is>
          <t>G19 dom 17/01 Busto FUORI + G20 mer 20/01 Altamura CASA + G21 dom 24/01 Altino CASA</t>
        </is>
      </c>
      <c r="C13" s="57" t="inlineStr">
        <is>
          <t>TERZA TRIPLA, ancora a ridosso del rientro dalla sosta: doppio fattore di rischio</t>
        </is>
      </c>
      <c r="D13" s="57" t="inlineStr">
        <is>
          <t>Una seduta pesi in tutto il blocco. Massima attenzione al cruscotto: il corpo gestisce rientro-sosta e tripla insieme</t>
        </is>
      </c>
      <c r="E13" s="57" t="inlineStr">
        <is>
          <t>E' il punto di massimo accumulo dell'intera stagione</t>
        </is>
      </c>
    </row>
    <row r="14" ht="76" customHeight="1">
      <c r="A14" s="7" t="inlineStr">
        <is>
          <t>03/02
FEBBRAIO</t>
        </is>
      </c>
      <c r="B14" s="9" t="inlineStr">
        <is>
          <t>Turno di riposo (di mercoledi)</t>
        </is>
      </c>
      <c r="C14" s="9" t="inlineStr">
        <is>
          <t>Arriva nel punto giusto: subito dopo il tratto piu duro (nov-dic-gen)</t>
        </is>
      </c>
      <c r="D14" s="9" t="inlineStr">
        <is>
          <t>Ri-test forza-velocita e confronto col dato di novembre | ciclo pesi piu denso | lavoro tissutale su chi ha accumulato fastidi</t>
        </is>
      </c>
      <c r="E14" s="9" t="inlineStr">
        <is>
          <t>E' il momento di rilanciare, non solo di recuperare</t>
        </is>
      </c>
    </row>
    <row r="15" ht="76" customHeight="1">
      <c r="A15" s="56" t="inlineStr">
        <is>
          <t>07-28/02
FEBBRAIO</t>
        </is>
      </c>
      <c r="B15" s="57" t="inlineStr">
        <is>
          <t>4 gare, tutte singole e domenicali</t>
        </is>
      </c>
      <c r="C15" s="57" t="inlineStr">
        <is>
          <t>Nessuna criticita di densita: e la finestra di respiro dell'anno</t>
        </is>
      </c>
      <c r="D15" s="57" t="inlineStr">
        <is>
          <t>Tornare al pattern standard PIENO. E' l'unico tratto in cui si puo far risalire l'intensita dei Pesi A dopo il logorio</t>
        </is>
      </c>
      <c r="E15" s="57" t="inlineStr">
        <is>
          <t>Occasione da non sprecare: dopo il 28/02 arriva l'ultima tripla</t>
        </is>
      </c>
    </row>
    <row r="16" ht="76" customHeight="1">
      <c r="A16" s="7" t="inlineStr">
        <is>
          <t>28/02-07/03
MARZO</t>
        </is>
      </c>
      <c r="B16" s="9" t="inlineStr">
        <is>
          <t>G27 dom 28/02 Trentino FUORI + G28 mer 03/03 Fasano FUORI + G29 dom 07/03 Melendugno CASA</t>
        </is>
      </c>
      <c r="C16" s="9" t="inlineStr">
        <is>
          <t>ULTIMA TRIPLA, con doppia trasferta consecutiva (28/02 e 03/03)</t>
        </is>
      </c>
      <c r="D16" s="9" t="inlineStr">
        <is>
          <t>Una seduta pesi nel blocco. Archetipo C (trasferte) + archetipo B (tripla) combinati</t>
        </is>
      </c>
      <c r="E16" s="9" t="inlineStr">
        <is>
          <t>Da qui in poi il calendario si allenta fino alla fine</t>
        </is>
      </c>
    </row>
    <row r="17" ht="76" customHeight="1">
      <c r="A17" s="56" t="inlineStr">
        <is>
          <t>21/03
MARZO</t>
        </is>
      </c>
      <c r="B17" s="57" t="inlineStr">
        <is>
          <t>G31 mer 21/03 Cremonese CASA</t>
        </is>
      </c>
      <c r="C17" s="57" t="inlineStr">
        <is>
          <t>Infrasettimanale ISOLATO: 7 giorni pieni prima e dopo</t>
        </is>
      </c>
      <c r="D17" s="57" t="inlineStr">
        <is>
          <t>Pattern standard, solo spostato di 2 giorni sul calendario settimanale. NON serve il protocollo delle triple</t>
        </is>
      </c>
      <c r="E17" s="57" t="inlineStr">
        <is>
          <t>Un infrasettimanale con gap pieno non e una settimana ad alta densita: distinguere evita di scaricare senza motivo</t>
        </is>
      </c>
    </row>
    <row r="18" ht="76" customHeight="1">
      <c r="A18" s="7" t="inlineStr">
        <is>
          <t>14/03-11/04
MARZO-APRILE</t>
        </is>
      </c>
      <c r="B18" s="9" t="inlineStr">
        <is>
          <t>Gare singole fino alla fine: 14/03, 21/03, 28/03, 04/04 (derby FUORI), 11/04</t>
        </is>
      </c>
      <c r="C18" s="9" t="inlineStr">
        <is>
          <t>Fatica di stagione al massimo storico</t>
        </is>
      </c>
      <c r="D18" s="9" t="inlineStr">
        <is>
          <t>Pesi A eventualmente scalato a 78% se il trend lo richiede. Si protegge la freschezza per il rush finale, non si insegue la forma</t>
        </is>
      </c>
      <c r="E18" s="9" t="inlineStr">
        <is>
          <t>Marzo-aprile e dove si vede la differenza fra squadre che reggono e squadre che calano: e gestione del carico, non talento</t>
        </is>
      </c>
    </row>
  </sheetData>
  <mergeCells count="3">
    <mergeCell ref="A2:E2"/>
    <mergeCell ref="A1:E1"/>
    <mergeCell ref="A4:E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46" customWidth="1" min="3" max="3"/>
    <col width="22" customWidth="1" min="4" max="4"/>
    <col width="34" customWidth="1" min="5" max="5"/>
  </cols>
  <sheetData>
    <row r="1" ht="28" customHeight="1">
      <c r="A1" s="52" t="inlineStr">
        <is>
          <t>POST REGULAR SEASON — TRE SCENARI</t>
        </is>
      </c>
    </row>
    <row r="2" ht="30" customHeight="1">
      <c r="A2" s="63" t="inlineStr">
        <is>
          <t>Regular season chiude domenica 11/04/2027. Formula A2 2026/27: 1a classificata promossa direttamente in A1; dalla 2a alla 9a playoff (quarti, semifinali, finali) andata e ritorno con eventuale Golden Set per la seconda promozione; la 13a disputa un playout con la 4a miglior squadra di A3 (se Club Italia si classifica 12a o meglio), 14a-17a retrocesse. ATTENZIONE: date dei turni playoff indicative, da confermare con il calendario ufficiale post-regular season.</t>
        </is>
      </c>
    </row>
    <row r="4" ht="20" customHeight="1">
      <c r="A4" s="54" t="inlineStr">
        <is>
          <t>IL PROBLEMA DI PIANIFICAZIONE</t>
        </is>
      </c>
    </row>
    <row r="5" ht="20" customHeight="1">
      <c r="A5" s="55" t="inlineStr">
        <is>
          <t>VOCE</t>
        </is>
      </c>
      <c r="B5" s="55" t="inlineStr">
        <is>
          <t>CONTENUTO</t>
        </is>
      </c>
      <c r="C5" s="64" t="n"/>
      <c r="D5" s="64" t="n"/>
      <c r="E5" s="64" t="n"/>
    </row>
    <row r="6" ht="54" customHeight="1">
      <c r="A6" s="7" t="inlineStr">
        <is>
          <t>Quando si conosce lo scenario</t>
        </is>
      </c>
      <c r="B6" s="9" t="inlineStr">
        <is>
          <t>Realisticamente a fine marzo (ultime 2-3 giornate). Fino a quel momento la preparazione deve restare COMPATIBILE CON TUTTI E TRE gli scenari.</t>
        </is>
      </c>
      <c r="C6" s="5" t="n"/>
      <c r="D6" s="5" t="n"/>
      <c r="E6" s="5" t="n"/>
    </row>
    <row r="7" ht="54" customHeight="1">
      <c r="A7" s="56" t="inlineStr">
        <is>
          <t>Conseguenza operativa</t>
        </is>
      </c>
      <c r="B7" s="57" t="inlineStr">
        <is>
          <t>Nelle ultime 3 settimane di regular season non si prende alcuna decisione irreversibile: niente scarico profondo 'tanto e finita', niente carico extra 'in vista dei playoff'. Si mantiene il pattern standard e si tiene la squadra in condizione di poter fare entrambe le cose.</t>
        </is>
      </c>
      <c r="C7" s="65" t="n"/>
      <c r="D7" s="65" t="n"/>
      <c r="E7" s="65" t="n"/>
    </row>
    <row r="8" ht="54" customHeight="1">
      <c r="A8" s="7" t="inlineStr">
        <is>
          <t>Errore classico</t>
        </is>
      </c>
      <c r="B8" s="9" t="inlineStr">
        <is>
          <t>Scaricare in anticipo perche la salvezza sembra acquisita, e poi trovarsi a giocare un playout con una squadra fuori condizione. Oppure caricare in vista di playoff che non si giocheranno, arrivando logori all'ultima giornata che invece decide tutto.</t>
        </is>
      </c>
      <c r="C8" s="5" t="n"/>
      <c r="D8" s="5" t="n"/>
      <c r="E8" s="5" t="n"/>
    </row>
    <row r="9" ht="54" customHeight="1">
      <c r="A9" s="56" t="inlineStr">
        <is>
          <t>Principio guida</t>
        </is>
      </c>
      <c r="B9" s="57" t="inlineStr">
        <is>
          <t>Il piazzamento e una variabile che non controlliamo. La condizione fisica lo e. Si pianifica per la condizione, non per la classifica sperata.</t>
        </is>
      </c>
      <c r="C9" s="65" t="n"/>
      <c r="D9" s="65" t="n"/>
      <c r="E9" s="65" t="n"/>
    </row>
    <row r="11" ht="20" customHeight="1">
      <c r="A11" s="54" t="inlineStr">
        <is>
          <t>SCENARIO A — PLAYOFF PROMOZIONE (2° - 9° posto)</t>
        </is>
      </c>
    </row>
    <row r="12" ht="20" customHeight="1">
      <c r="A12" s="55" t="inlineStr">
        <is>
          <t>VOCE</t>
        </is>
      </c>
      <c r="B12" s="55" t="inlineStr">
        <is>
          <t>CONTENUTO</t>
        </is>
      </c>
      <c r="C12" s="64" t="n"/>
      <c r="D12" s="64" t="n"/>
      <c r="E12" s="64" t="n"/>
    </row>
    <row r="13" ht="56" customHeight="1">
      <c r="A13" s="7" t="inlineStr">
        <is>
          <t>Contesto</t>
        </is>
      </c>
      <c r="B13" s="9" t="inlineStr">
        <is>
          <t>Quarti, semifinali e finali con formula andata/ritorno ed eventuale Golden Set. Struttura di fatto: 2 gare a settimana (infrasettimanale + weekend) per 2-6 settimane consecutive, con trasferte.</t>
        </is>
      </c>
      <c r="C13" s="5" t="n"/>
      <c r="D13" s="5" t="n"/>
      <c r="E13" s="5" t="n"/>
    </row>
    <row r="14" ht="56" customHeight="1">
      <c r="A14" s="56" t="inlineStr">
        <is>
          <t>Obiettivo del periodo</t>
        </is>
      </c>
      <c r="B14" s="57" t="inlineStr">
        <is>
          <t>Mantenere il picco raggiunto, NON costruirne uno nuovo. In aprile-maggio, dopo 7 mesi di stagione, non c'e piu margine adattivo: c'e solo margine di gestione.</t>
        </is>
      </c>
      <c r="C14" s="65" t="n"/>
      <c r="D14" s="65" t="n"/>
      <c r="E14" s="65" t="n"/>
    </row>
    <row r="15" ht="56" customHeight="1">
      <c r="A15" s="7" t="inlineStr">
        <is>
          <t>Metodologia</t>
        </is>
      </c>
      <c r="B15" s="9" t="inlineStr">
        <is>
          <t>Si applica in permanenza l'archetipo B (tre gare in 7-8 giorni) esteso a piu settimane: UNA seduta pesi per ciclo gara-gara, collocata a &gt;= 48h da entrambe. Contenuto: solo tocco pesante breve (2x2 @78-80%) + prevenzione. Nessun volume.</t>
        </is>
      </c>
      <c r="C15" s="5" t="n"/>
      <c r="D15" s="5" t="n"/>
      <c r="E15" s="5" t="n"/>
    </row>
    <row r="16" ht="56" customHeight="1">
      <c r="A16" s="56" t="inlineStr">
        <is>
          <t>Proposte pre-allenamento</t>
        </is>
      </c>
      <c r="B16" s="57" t="inlineStr">
        <is>
          <t>Interamente attivazione, prevenzione e decompressione da viaggio. Il richiamo neurale si riduce a 3-4 salti reattivi nella finestra piu lontana dalle gare.</t>
        </is>
      </c>
      <c r="C16" s="65" t="n"/>
      <c r="D16" s="65" t="n"/>
      <c r="E16" s="65" t="n"/>
    </row>
    <row r="17" ht="56" customHeight="1">
      <c r="A17" s="7" t="inlineStr">
        <is>
          <t>Micro-taper ripetuti</t>
        </is>
      </c>
      <c r="B17" s="9" t="inlineStr">
        <is>
          <t>Ogni gara ha il suo mini-taper di 48h: ultimo stimolo a 72h, ultimi salti a 48h, giorno prima scarico. In una serie andata/ritorno questo significa che il 70% del tempo e taper: e corretto cosi.</t>
        </is>
      </c>
      <c r="C17" s="5" t="n"/>
      <c r="D17" s="5" t="n"/>
      <c r="E17" s="5" t="n"/>
    </row>
    <row r="18" ht="56" customHeight="1">
      <c r="A18" s="56" t="inlineStr">
        <is>
          <t>Criticita specifica</t>
        </is>
      </c>
      <c r="B18" s="57" t="inlineStr">
        <is>
          <t>L'accumulo di trasferte in serie ravvicinate: la fatica sistemica (viaggio, sonno) diventa il fattore limitante piu del carico di allenamento. Presidiare sonno e idratazione come contenuto tecnico, non come raccomandazione generica.</t>
        </is>
      </c>
      <c r="C18" s="65" t="n"/>
      <c r="D18" s="65" t="n"/>
      <c r="E18" s="65" t="n"/>
    </row>
    <row r="19" ht="56" customHeight="1">
      <c r="A19" s="7" t="inlineStr">
        <is>
          <t>Standard di controllo</t>
        </is>
      </c>
      <c r="B19" s="9" t="inlineStr">
        <is>
          <t>CMJ prima di ogni gara: se scende sotto il 90% della media di aprile, la seduta pesi del ciclo successivo SALTA. Fastidio articolare &gt; 3/10: si toglie ogni contenuto reattivo, si mantiene solo prevenzione.</t>
        </is>
      </c>
      <c r="C19" s="5" t="n"/>
      <c r="D19" s="5" t="n"/>
      <c r="E19" s="5" t="n"/>
    </row>
    <row r="21" ht="20" customHeight="1">
      <c r="A21" s="54" t="inlineStr">
        <is>
          <t>SCENARIO B — SALVEZZA ACQUISITA, NESSUN IMPEGNO POST-SEASON (10° - 12° posto)</t>
        </is>
      </c>
    </row>
    <row r="22" ht="20" customHeight="1">
      <c r="A22" s="55" t="inlineStr">
        <is>
          <t>VOCE</t>
        </is>
      </c>
      <c r="B22" s="55" t="inlineStr">
        <is>
          <t>CONTENUTO</t>
        </is>
      </c>
      <c r="C22" s="64" t="n"/>
      <c r="D22" s="64" t="n"/>
      <c r="E22" s="64" t="n"/>
    </row>
    <row r="23" ht="54" customHeight="1">
      <c r="A23" s="7" t="inlineStr">
        <is>
          <t>Contesto</t>
        </is>
      </c>
      <c r="B23" s="9" t="inlineStr">
        <is>
          <t>La stagione si chiude domenica 11/04. Nessuna gara ufficiale successiva.</t>
        </is>
      </c>
      <c r="C23" s="5" t="n"/>
      <c r="D23" s="5" t="n"/>
      <c r="E23" s="5" t="n"/>
    </row>
    <row r="24" ht="54" customHeight="1">
      <c r="A24" s="56" t="inlineStr">
        <is>
          <t>Obiettivo del periodo</t>
        </is>
      </c>
      <c r="B24" s="57" t="inlineStr">
        <is>
          <t>Chiudere in modo ordinato e preparare la transizione verso l'off-season successiva. E' l'unico scenario in cui si puo tornare a COSTRUIRE invece di mantenere.</t>
        </is>
      </c>
      <c r="C24" s="65" t="n"/>
      <c r="D24" s="65" t="n"/>
      <c r="E24" s="65" t="n"/>
    </row>
    <row r="25" ht="54" customHeight="1">
      <c r="A25" s="7" t="inlineStr">
        <is>
          <t>Fase 1 — Decompressione (2 settimane, 12-25/04)</t>
        </is>
      </c>
      <c r="B25" s="9" t="inlineStr">
        <is>
          <t>Scarico attivo: mobilita, lavoro tissutale, nuoto/acqua. Nessun carico assiale. Si smaltiscono 7 mesi di accumulo. Valutazione clinica di tutti i fastidi rimasti in sospeso durante la stagione.</t>
        </is>
      </c>
      <c r="C25" s="5" t="n"/>
      <c r="D25" s="5" t="n"/>
      <c r="E25" s="5" t="n"/>
    </row>
    <row r="26" ht="54" customHeight="1">
      <c r="A26" s="56" t="inlineStr">
        <is>
          <t>Fase 2 — Ricostruzione leggera (3-4 settimane, dal 26/04)</t>
        </is>
      </c>
      <c r="B26" s="57" t="inlineStr">
        <is>
          <t>Ripresa del lavoro di forza a volume moderato e intensita bassa (65-72%), 2-3 sedute a settimana. Obiettivo: ricostruire la base che la stagione ha eroso, prima della pausa estiva.</t>
        </is>
      </c>
      <c r="C26" s="65" t="n"/>
      <c r="D26" s="65" t="n"/>
      <c r="E26" s="65" t="n"/>
    </row>
    <row r="27" ht="54" customHeight="1">
      <c r="A27" s="7" t="inlineStr">
        <is>
          <t>Cosa NON fare</t>
        </is>
      </c>
      <c r="B27" s="9" t="inlineStr">
        <is>
          <t>Fermarsi completamente per 6 settimane. La detrainizzazione totale rende l'off-season successiva una ricostruzione da zero invece che una progressione.</t>
        </is>
      </c>
      <c r="C27" s="5" t="n"/>
      <c r="D27" s="5" t="n"/>
      <c r="E27" s="5" t="n"/>
    </row>
    <row r="28" ht="54" customHeight="1">
      <c r="A28" s="56" t="inlineStr">
        <is>
          <t>Opportunita</t>
        </is>
      </c>
      <c r="B28" s="57" t="inlineStr">
        <is>
          <t>E' la finestra ideale per il bilancio di stagione: confronto dei profili forza-velocita (settembre / novembre / febbraio / aprile), analisi degli infortuni e delle assenze, revisione dei menu di prevenzione individuali per l'anno successivo.</t>
        </is>
      </c>
      <c r="C28" s="65" t="n"/>
      <c r="D28" s="65" t="n"/>
      <c r="E28" s="65" t="n"/>
    </row>
    <row r="30" ht="20" customHeight="1">
      <c r="A30" s="54" t="inlineStr">
        <is>
          <t>SCENARIO C — PLAYOUT SALVEZZA (13° posto)</t>
        </is>
      </c>
    </row>
    <row r="31" ht="20" customHeight="1">
      <c r="A31" s="55" t="inlineStr">
        <is>
          <t>VOCE</t>
        </is>
      </c>
      <c r="B31" s="55" t="inlineStr">
        <is>
          <t>CONTENUTO</t>
        </is>
      </c>
      <c r="C31" s="64" t="n"/>
      <c r="D31" s="64" t="n"/>
      <c r="E31" s="64" t="n"/>
    </row>
    <row r="32" ht="56" customHeight="1">
      <c r="A32" s="7" t="inlineStr">
        <is>
          <t>Contesto</t>
        </is>
      </c>
      <c r="B32" s="9" t="inlineStr">
        <is>
          <t>Spareggio contro la 4a miglior squadra di Serie A3 (se Club Italia si classifica 12a o meglio; diversamente il playout non si disputa e le retrocessioni dirette diventano quattro). Formula tipicamente andata/ritorno.</t>
        </is>
      </c>
      <c r="C32" s="5" t="n"/>
      <c r="D32" s="5" t="n"/>
      <c r="E32" s="5" t="n"/>
    </row>
    <row r="33" ht="56" customHeight="1">
      <c r="A33" s="56" t="inlineStr">
        <is>
          <t>Obiettivo del periodo</t>
        </is>
      </c>
      <c r="B33" s="57" t="inlineStr">
        <is>
          <t>Massima freschezza su un numero ristretto di gare decisive. E' l'opposto dello scenario A: non una serie lunga da gestire, ma 1-2 gare su cui concentrare tutto.</t>
        </is>
      </c>
      <c r="C33" s="65" t="n"/>
      <c r="D33" s="65" t="n"/>
      <c r="E33" s="65" t="n"/>
    </row>
    <row r="34" ht="56" customHeight="1">
      <c r="A34" s="7" t="inlineStr">
        <is>
          <t>Metodologia</t>
        </is>
      </c>
      <c r="B34" s="9" t="inlineStr">
        <is>
          <t>Peaking stretto: taper vero e proprio, come la W6 di preseason. Volume -50/60%, intensita e frequenza mantenute, ultimo stimolo pesante a 72h, ultimi salti reattivi a 48h dalla prima gara di spareggio.</t>
        </is>
      </c>
      <c r="C34" s="5" t="n"/>
      <c r="D34" s="5" t="n"/>
      <c r="E34" s="5" t="n"/>
    </row>
    <row r="35" ht="56" customHeight="1">
      <c r="A35" s="56" t="inlineStr">
        <is>
          <t>Settimana di attesa</t>
        </is>
      </c>
      <c r="B35" s="57" t="inlineStr">
        <is>
          <t>Fra la fine della regular season (11/04) e lo spareggio possono passare 1-2 settimane. NON e tempo libero: si mantiene il ritmo settimanale standard (2 pesi + 2 pre-allenamento) per non perdere condizione, poi si entra in taper nei 5-6 giorni finali.</t>
        </is>
      </c>
      <c r="C35" s="65" t="n"/>
      <c r="D35" s="65" t="n"/>
      <c r="E35" s="65" t="n"/>
    </row>
    <row r="36" ht="56" customHeight="1">
      <c r="A36" s="7" t="inlineStr">
        <is>
          <t>Criticita specifica</t>
        </is>
      </c>
      <c r="B36" s="9" t="inlineStr">
        <is>
          <t>Il carico psicologico. Una gara che vale la categoria produce attivazione elevata e sonno peggiore: il rischio e arrivare 'sovra-attivate' e con recupero incompleto. Il compito del preparatore e proteggere il sonno e ridurre gli stimoli, non aggiungerne.</t>
        </is>
      </c>
      <c r="C36" s="5" t="n"/>
      <c r="D36" s="5" t="n"/>
      <c r="E36" s="5" t="n"/>
    </row>
    <row r="37" ht="56" customHeight="1">
      <c r="A37" s="56" t="inlineStr">
        <is>
          <t>Errore da evitare</t>
        </is>
      </c>
      <c r="B37" s="57" t="inlineStr">
        <is>
          <t>Aumentare il lavoro 'perche e decisiva'. In una gara secca il fattore limitante e la freschezza, non la preparazione: quello che non e stato costruito in 7 mesi non si costruisce in 10 giorni.</t>
        </is>
      </c>
      <c r="C37" s="65" t="n"/>
      <c r="D37" s="65" t="n"/>
      <c r="E37" s="65" t="n"/>
    </row>
    <row r="38" ht="56" customHeight="1">
      <c r="A38" s="7" t="inlineStr">
        <is>
          <t>Standard di controllo</t>
        </is>
      </c>
      <c r="B38" s="9" t="inlineStr">
        <is>
          <t>CMJ al picco del mese nei 3 giorni precedenti la gara. Wellness: se il sonno peggiora per 2 notti consecutive, si riduce ulteriormente il carico e si coinvolge lo staff medico.</t>
        </is>
      </c>
      <c r="C38" s="5" t="n"/>
      <c r="D38" s="5" t="n"/>
      <c r="E38" s="5" t="n"/>
    </row>
    <row r="40" ht="20" customHeight="1">
      <c r="A40" s="54" t="inlineStr">
        <is>
          <t>SINTESI DECISIONALE</t>
        </is>
      </c>
    </row>
    <row r="41" ht="20" customHeight="1">
      <c r="A41" s="55" t="inlineStr">
        <is>
          <t>SE ARRIVIAMO...</t>
        </is>
      </c>
      <c r="B41" s="55" t="inlineStr">
        <is>
          <t>SCENARIO</t>
        </is>
      </c>
      <c r="C41" s="55" t="inlineStr">
        <is>
          <t>APPROCCIO IN UNA RIGA</t>
        </is>
      </c>
      <c r="D41" s="55" t="inlineStr">
        <is>
          <t>DURATA</t>
        </is>
      </c>
      <c r="E41" s="55" t="inlineStr">
        <is>
          <t>RISCHIO PRINCIPALE</t>
        </is>
      </c>
    </row>
    <row r="42" ht="44" customHeight="1">
      <c r="A42" s="7" t="inlineStr">
        <is>
          <t>1° posto</t>
        </is>
      </c>
      <c r="B42" s="9" t="inlineStr">
        <is>
          <t>Promozione diretta in A1</t>
        </is>
      </c>
      <c r="C42" s="9" t="inlineStr">
        <is>
          <t>Nessun impegno post-season: si applica lo scenario B (decompressione + ricostruzione), con il morale di un'altra categoria</t>
        </is>
      </c>
      <c r="D42" s="9" t="inlineStr">
        <is>
          <t>~6 settimane</t>
        </is>
      </c>
      <c r="E42" s="9" t="inlineStr">
        <is>
          <t>Rilassamento totale e detraining</t>
        </is>
      </c>
    </row>
    <row r="43" ht="44" customHeight="1">
      <c r="A43" s="56" t="inlineStr">
        <is>
          <t>2° - 9° posto</t>
        </is>
      </c>
      <c r="B43" s="57" t="inlineStr">
        <is>
          <t>A — Playoff Promozione</t>
        </is>
      </c>
      <c r="C43" s="57" t="inlineStr">
        <is>
          <t>Mantenere il picco con micro-taper ripetuti; una seduta pesi per ciclo gara-gara</t>
        </is>
      </c>
      <c r="D43" s="57" t="inlineStr">
        <is>
          <t>2-6 settimane</t>
        </is>
      </c>
      <c r="E43" s="57" t="inlineStr">
        <is>
          <t>Fatica sistemica da trasferte ravvicinate</t>
        </is>
      </c>
    </row>
    <row r="44" ht="44" customHeight="1">
      <c r="A44" s="7" t="inlineStr">
        <is>
          <t>10° - 12° posto</t>
        </is>
      </c>
      <c r="B44" s="9" t="inlineStr">
        <is>
          <t>B — Stagione conclusa</t>
        </is>
      </c>
      <c r="C44" s="9" t="inlineStr">
        <is>
          <t>Decompressione 2 settimane, poi ricostruzione leggera verso l'off-season</t>
        </is>
      </c>
      <c r="D44" s="9" t="inlineStr">
        <is>
          <t>~6 settimane</t>
        </is>
      </c>
      <c r="E44" s="9" t="inlineStr">
        <is>
          <t>Fermarsi del tutto e ripartire da zero a luglio</t>
        </is>
      </c>
    </row>
    <row r="45" ht="44" customHeight="1">
      <c r="A45" s="56" t="inlineStr">
        <is>
          <t>13° posto</t>
        </is>
      </c>
      <c r="B45" s="57" t="inlineStr">
        <is>
          <t>C — Playout salvezza</t>
        </is>
      </c>
      <c r="C45" s="57" t="inlineStr">
        <is>
          <t>Peaking stretto su 1-2 gare: taper vero, massima freschezza</t>
        </is>
      </c>
      <c r="D45" s="57" t="inlineStr">
        <is>
          <t>1-3 settimane</t>
        </is>
      </c>
      <c r="E45" s="57" t="inlineStr">
        <is>
          <t>Sovra-attivazione e sonno compromesso</t>
        </is>
      </c>
    </row>
    <row r="46" ht="44" customHeight="1">
      <c r="A46" s="7" t="inlineStr">
        <is>
          <t>14° - 17° posto</t>
        </is>
      </c>
      <c r="B46" s="9" t="inlineStr">
        <is>
          <t>Retrocessione diretta</t>
        </is>
      </c>
      <c r="C46" s="9" t="inlineStr">
        <is>
          <t>Come scenario B, con revisione strutturale del programma nell'off-season</t>
        </is>
      </c>
      <c r="D46" s="9" t="inlineStr">
        <is>
          <t>~6 settimane</t>
        </is>
      </c>
      <c r="E46" s="9" t="inlineStr">
        <is>
          <t>—</t>
        </is>
      </c>
    </row>
  </sheetData>
  <mergeCells count="7">
    <mergeCell ref="A21:E21"/>
    <mergeCell ref="A30:E30"/>
    <mergeCell ref="A4:E4"/>
    <mergeCell ref="A2:E2"/>
    <mergeCell ref="A11:E11"/>
    <mergeCell ref="A1:E1"/>
    <mergeCell ref="A40:E4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34" customWidth="1" min="4" max="4"/>
    <col width="12" customWidth="1" min="5" max="5"/>
    <col width="16" customWidth="1" min="6" max="6"/>
    <col width="20" customWidth="1" min="7" max="7"/>
  </cols>
  <sheetData>
    <row r="1" ht="26" customHeight="1">
      <c r="A1" s="66" t="inlineStr">
        <is>
          <t>CALENDARIO REGULAR SEASON 2026/27 — dati dal documento ufficiale Lega Volley Femminile del 30/07/2026</t>
        </is>
      </c>
    </row>
    <row r="2" ht="28" customHeight="1">
      <c r="A2" s="67" t="inlineStr">
        <is>
          <t>N°</t>
        </is>
      </c>
      <c r="B2" s="67" t="inlineStr">
        <is>
          <t>DATA</t>
        </is>
      </c>
      <c r="C2" s="67" t="inlineStr">
        <is>
          <t>GIORNATA</t>
        </is>
      </c>
      <c r="D2" s="67" t="inlineStr">
        <is>
          <t>AVVERSARIO</t>
        </is>
      </c>
      <c r="E2" s="67" t="inlineStr">
        <is>
          <t>SEDE</t>
        </is>
      </c>
      <c r="F2" s="67" t="inlineStr">
        <is>
          <t>INFRASETTIMANALE</t>
        </is>
      </c>
      <c r="G2" s="67" t="inlineStr">
        <is>
          <t>ARCHETIPO SETTIMANA</t>
        </is>
      </c>
    </row>
    <row r="3" ht="18" customHeight="1">
      <c r="A3" s="68" t="n">
        <v>1</v>
      </c>
      <c r="B3" s="68" t="inlineStr">
        <is>
          <t>Sun 04/10/2026</t>
        </is>
      </c>
      <c r="C3" s="68" t="inlineStr">
        <is>
          <t>1a And</t>
        </is>
      </c>
      <c r="D3" s="69" t="inlineStr">
        <is>
          <t>C.B.L. Costa Volpino</t>
        </is>
      </c>
      <c r="E3" s="70" t="inlineStr">
        <is>
          <t>FUORI</t>
        </is>
      </c>
      <c r="F3" s="68" t="inlineStr">
        <is>
          <t>NO</t>
        </is>
      </c>
      <c r="G3" s="68" t="inlineStr">
        <is>
          <t>STANDARD</t>
        </is>
      </c>
    </row>
    <row r="4" ht="18" customHeight="1">
      <c r="A4" s="68" t="n">
        <v>2</v>
      </c>
      <c r="B4" s="68" t="inlineStr">
        <is>
          <t>Sun 11/10/2026</t>
        </is>
      </c>
      <c r="C4" s="68" t="inlineStr">
        <is>
          <t>2a And</t>
        </is>
      </c>
      <c r="D4" s="69" t="inlineStr">
        <is>
          <t>Futura Giovani Busto Arsizio</t>
        </is>
      </c>
      <c r="E4" s="71" t="inlineStr">
        <is>
          <t>CASA</t>
        </is>
      </c>
      <c r="F4" s="68" t="inlineStr">
        <is>
          <t>NO</t>
        </is>
      </c>
      <c r="G4" s="68" t="inlineStr">
        <is>
          <t>STANDARD</t>
        </is>
      </c>
    </row>
    <row r="5" ht="18" customHeight="1">
      <c r="A5" s="68" t="n">
        <v>3</v>
      </c>
      <c r="B5" s="68" t="inlineStr">
        <is>
          <t>Wed 14/10/2026</t>
        </is>
      </c>
      <c r="C5" s="68" t="inlineStr">
        <is>
          <t>3a And</t>
        </is>
      </c>
      <c r="D5" s="69" t="inlineStr">
        <is>
          <t>Panbisco Leonessa Altamura</t>
        </is>
      </c>
      <c r="E5" s="70" t="inlineStr">
        <is>
          <t>FUORI</t>
        </is>
      </c>
      <c r="F5" s="68" t="inlineStr">
        <is>
          <t>SI</t>
        </is>
      </c>
      <c r="G5" s="72" t="inlineStr">
        <is>
          <t>ALTA DENSITA</t>
        </is>
      </c>
    </row>
    <row r="6" ht="18" customHeight="1">
      <c r="A6" s="68" t="n">
        <v>4</v>
      </c>
      <c r="B6" s="68" t="inlineStr">
        <is>
          <t>Sun 18/10/2026</t>
        </is>
      </c>
      <c r="C6" s="68" t="inlineStr">
        <is>
          <t>4a And</t>
        </is>
      </c>
      <c r="D6" s="69" t="inlineStr">
        <is>
          <t>Tenaglia Altino Avastese</t>
        </is>
      </c>
      <c r="E6" s="70" t="inlineStr">
        <is>
          <t>FUORI</t>
        </is>
      </c>
      <c r="F6" s="68" t="inlineStr">
        <is>
          <t>NO</t>
        </is>
      </c>
      <c r="G6" s="72" t="inlineStr">
        <is>
          <t>ALTA DENSITA</t>
        </is>
      </c>
    </row>
    <row r="7" ht="18" customHeight="1">
      <c r="A7" s="68" t="n">
        <v>5</v>
      </c>
      <c r="B7" s="68" t="inlineStr">
        <is>
          <t>Sun 25/10/2026</t>
        </is>
      </c>
      <c r="C7" s="68" t="inlineStr">
        <is>
          <t>5a And</t>
        </is>
      </c>
      <c r="D7" s="69" t="inlineStr">
        <is>
          <t>Nuvoli Altafratte Padova</t>
        </is>
      </c>
      <c r="E7" s="71" t="inlineStr">
        <is>
          <t>CASA</t>
        </is>
      </c>
      <c r="F7" s="68" t="inlineStr">
        <is>
          <t>NO</t>
        </is>
      </c>
      <c r="G7" s="68" t="inlineStr">
        <is>
          <t>STANDARD</t>
        </is>
      </c>
    </row>
    <row r="8" ht="18" customHeight="1">
      <c r="A8" s="68" t="n">
        <v>6</v>
      </c>
      <c r="B8" s="68" t="inlineStr">
        <is>
          <t>Sun 01/11/2026</t>
        </is>
      </c>
      <c r="C8" s="68" t="inlineStr">
        <is>
          <t>6a And</t>
        </is>
      </c>
      <c r="D8" s="69" t="inlineStr">
        <is>
          <t>Turno di Riposo</t>
        </is>
      </c>
      <c r="E8" s="73" t="inlineStr">
        <is>
          <t>RIPOSO</t>
        </is>
      </c>
      <c r="F8" s="68" t="inlineStr">
        <is>
          <t>NO</t>
        </is>
      </c>
      <c r="G8" s="73" t="inlineStr">
        <is>
          <t>RIPOSO</t>
        </is>
      </c>
    </row>
    <row r="9" ht="18" customHeight="1">
      <c r="A9" s="68" t="n">
        <v>7</v>
      </c>
      <c r="B9" s="68" t="inlineStr">
        <is>
          <t>Sun 08/11/2026</t>
        </is>
      </c>
      <c r="C9" s="68" t="inlineStr">
        <is>
          <t>7a And</t>
        </is>
      </c>
      <c r="D9" s="69" t="inlineStr">
        <is>
          <t>Dragons Offanengo</t>
        </is>
      </c>
      <c r="E9" s="71" t="inlineStr">
        <is>
          <t>CASA</t>
        </is>
      </c>
      <c r="F9" s="68" t="inlineStr">
        <is>
          <t>NO</t>
        </is>
      </c>
      <c r="G9" s="68" t="inlineStr">
        <is>
          <t>STANDARD</t>
        </is>
      </c>
    </row>
    <row r="10" ht="18" customHeight="1">
      <c r="A10" s="68" t="n">
        <v>8</v>
      </c>
      <c r="B10" s="68" t="inlineStr">
        <is>
          <t>Sun 15/11/2026</t>
        </is>
      </c>
      <c r="C10" s="68" t="inlineStr">
        <is>
          <t>8a And</t>
        </is>
      </c>
      <c r="D10" s="69" t="inlineStr">
        <is>
          <t>Clai Imola Volley</t>
        </is>
      </c>
      <c r="E10" s="71" t="inlineStr">
        <is>
          <t>CASA</t>
        </is>
      </c>
      <c r="F10" s="68" t="inlineStr">
        <is>
          <t>NO</t>
        </is>
      </c>
      <c r="G10" s="72" t="inlineStr">
        <is>
          <t>ALTA DENSITA</t>
        </is>
      </c>
    </row>
    <row r="11" ht="18" customHeight="1">
      <c r="A11" s="68" t="n">
        <v>9</v>
      </c>
      <c r="B11" s="68" t="inlineStr">
        <is>
          <t>Wed 18/11/2026</t>
        </is>
      </c>
      <c r="C11" s="68" t="inlineStr">
        <is>
          <t>9a And</t>
        </is>
      </c>
      <c r="D11" s="69" t="inlineStr">
        <is>
          <t>Club Italia</t>
        </is>
      </c>
      <c r="E11" s="70" t="inlineStr">
        <is>
          <t>FUORI</t>
        </is>
      </c>
      <c r="F11" s="68" t="inlineStr">
        <is>
          <t>SI</t>
        </is>
      </c>
      <c r="G11" s="72" t="inlineStr">
        <is>
          <t>ALTA DENSITA</t>
        </is>
      </c>
    </row>
    <row r="12" ht="18" customHeight="1">
      <c r="A12" s="68" t="n">
        <v>10</v>
      </c>
      <c r="B12" s="68" t="inlineStr">
        <is>
          <t>Sun 22/11/2026</t>
        </is>
      </c>
      <c r="C12" s="68" t="inlineStr">
        <is>
          <t>10a And</t>
        </is>
      </c>
      <c r="D12" s="69" t="inlineStr">
        <is>
          <t>Itas Trentino</t>
        </is>
      </c>
      <c r="E12" s="71" t="inlineStr">
        <is>
          <t>CASA</t>
        </is>
      </c>
      <c r="F12" s="68" t="inlineStr">
        <is>
          <t>NO</t>
        </is>
      </c>
      <c r="G12" s="72" t="inlineStr">
        <is>
          <t>ALTA DENSITA</t>
        </is>
      </c>
    </row>
    <row r="13" ht="18" customHeight="1">
      <c r="A13" s="68" t="n">
        <v>11</v>
      </c>
      <c r="B13" s="68" t="inlineStr">
        <is>
          <t>Sun 29/11/2026</t>
        </is>
      </c>
      <c r="C13" s="68" t="inlineStr">
        <is>
          <t>11a And</t>
        </is>
      </c>
      <c r="D13" s="69" t="inlineStr">
        <is>
          <t>Olio Pantaleo Volley Fasano</t>
        </is>
      </c>
      <c r="E13" s="71" t="inlineStr">
        <is>
          <t>CASA</t>
        </is>
      </c>
      <c r="F13" s="68" t="inlineStr">
        <is>
          <t>NO</t>
        </is>
      </c>
      <c r="G13" s="68" t="inlineStr">
        <is>
          <t>STANDARD</t>
        </is>
      </c>
    </row>
    <row r="14" ht="18" customHeight="1">
      <c r="A14" s="68" t="n">
        <v>12</v>
      </c>
      <c r="B14" s="68" t="inlineStr">
        <is>
          <t>Sun 06/12/2026</t>
        </is>
      </c>
      <c r="C14" s="68" t="inlineStr">
        <is>
          <t>12a And</t>
        </is>
      </c>
      <c r="D14" s="69" t="inlineStr">
        <is>
          <t>Narconon Volley Melendugno</t>
        </is>
      </c>
      <c r="E14" s="70" t="inlineStr">
        <is>
          <t>FUORI</t>
        </is>
      </c>
      <c r="F14" s="68" t="inlineStr">
        <is>
          <t>NO</t>
        </is>
      </c>
      <c r="G14" s="68" t="inlineStr">
        <is>
          <t>STANDARD</t>
        </is>
      </c>
    </row>
    <row r="15" ht="18" customHeight="1">
      <c r="A15" s="68" t="n">
        <v>13</v>
      </c>
      <c r="B15" s="68" t="inlineStr">
        <is>
          <t>Sun 13/12/2026</t>
        </is>
      </c>
      <c r="C15" s="68" t="inlineStr">
        <is>
          <t>13a And</t>
        </is>
      </c>
      <c r="D15" s="69" t="inlineStr">
        <is>
          <t>Wash4Green Monviso Volley</t>
        </is>
      </c>
      <c r="E15" s="71" t="inlineStr">
        <is>
          <t>CASA</t>
        </is>
      </c>
      <c r="F15" s="68" t="inlineStr">
        <is>
          <t>NO</t>
        </is>
      </c>
      <c r="G15" s="72" t="inlineStr">
        <is>
          <t>ALTA DENSITA</t>
        </is>
      </c>
    </row>
    <row r="16" ht="18" customHeight="1">
      <c r="A16" s="68" t="n">
        <v>14</v>
      </c>
      <c r="B16" s="68" t="inlineStr">
        <is>
          <t>Wed 16/12/2026</t>
        </is>
      </c>
      <c r="C16" s="68" t="inlineStr">
        <is>
          <t>14a And</t>
        </is>
      </c>
      <c r="D16" s="69" t="inlineStr">
        <is>
          <t>VBC Cremonese</t>
        </is>
      </c>
      <c r="E16" s="70" t="inlineStr">
        <is>
          <t>FUORI</t>
        </is>
      </c>
      <c r="F16" s="68" t="inlineStr">
        <is>
          <t>SI</t>
        </is>
      </c>
      <c r="G16" s="72" t="inlineStr">
        <is>
          <t>ALTA DENSITA</t>
        </is>
      </c>
    </row>
    <row r="17" ht="18" customHeight="1">
      <c r="A17" s="68" t="n">
        <v>15</v>
      </c>
      <c r="B17" s="68" t="inlineStr">
        <is>
          <t>Sun 20/12/2026</t>
        </is>
      </c>
      <c r="C17" s="68" t="inlineStr">
        <is>
          <t>15a And</t>
        </is>
      </c>
      <c r="D17" s="69" t="inlineStr">
        <is>
          <t>Bartoccini +energia Perugia</t>
        </is>
      </c>
      <c r="E17" s="71" t="inlineStr">
        <is>
          <t>CASA</t>
        </is>
      </c>
      <c r="F17" s="68" t="inlineStr">
        <is>
          <t>NO</t>
        </is>
      </c>
      <c r="G17" s="72" t="inlineStr">
        <is>
          <t>ALTA DENSITA</t>
        </is>
      </c>
    </row>
    <row r="18" ht="18" customHeight="1">
      <c r="A18" s="68" t="n">
        <v>16</v>
      </c>
      <c r="B18" s="68" t="inlineStr">
        <is>
          <t>Sat 26/12/2026</t>
        </is>
      </c>
      <c r="C18" s="68" t="inlineStr">
        <is>
          <t>16a And</t>
        </is>
      </c>
      <c r="D18" s="69" t="inlineStr">
        <is>
          <t>Akademia Sant'Anna Messina</t>
        </is>
      </c>
      <c r="E18" s="71" t="inlineStr">
        <is>
          <t>CASA</t>
        </is>
      </c>
      <c r="F18" s="68" t="inlineStr">
        <is>
          <t>NO</t>
        </is>
      </c>
      <c r="G18" s="68" t="inlineStr">
        <is>
          <t>DERBY</t>
        </is>
      </c>
    </row>
    <row r="19" ht="18" customHeight="1">
      <c r="A19" s="68" t="n">
        <v>17</v>
      </c>
      <c r="B19" s="68" t="inlineStr">
        <is>
          <t>Wed 06/01/2027</t>
        </is>
      </c>
      <c r="C19" s="68" t="inlineStr">
        <is>
          <t>17a And</t>
        </is>
      </c>
      <c r="D19" s="69" t="inlineStr">
        <is>
          <t>Ferraro SMI Roma Volley</t>
        </is>
      </c>
      <c r="E19" s="70" t="inlineStr">
        <is>
          <t>FUORI</t>
        </is>
      </c>
      <c r="F19" s="68" t="inlineStr">
        <is>
          <t>SI</t>
        </is>
      </c>
      <c r="G19" s="74" t="inlineStr">
        <is>
          <t>SNODO CRITICO</t>
        </is>
      </c>
    </row>
    <row r="20" ht="18" customHeight="1">
      <c r="A20" s="68" t="n">
        <v>18</v>
      </c>
      <c r="B20" s="68" t="inlineStr">
        <is>
          <t>Sun 10/01/2027</t>
        </is>
      </c>
      <c r="C20" s="68" t="inlineStr">
        <is>
          <t>1a Rit</t>
        </is>
      </c>
      <c r="D20" s="69" t="inlineStr">
        <is>
          <t>C.B.L. Costa Volpino</t>
        </is>
      </c>
      <c r="E20" s="71" t="inlineStr">
        <is>
          <t>CASA</t>
        </is>
      </c>
      <c r="F20" s="68" t="inlineStr">
        <is>
          <t>NO</t>
        </is>
      </c>
      <c r="G20" s="74" t="inlineStr">
        <is>
          <t>SNODO CRITICO</t>
        </is>
      </c>
    </row>
    <row r="21" ht="18" customHeight="1">
      <c r="A21" s="68" t="n">
        <v>19</v>
      </c>
      <c r="B21" s="68" t="inlineStr">
        <is>
          <t>Sun 17/01/2027</t>
        </is>
      </c>
      <c r="C21" s="68" t="inlineStr">
        <is>
          <t>2a Rit</t>
        </is>
      </c>
      <c r="D21" s="69" t="inlineStr">
        <is>
          <t>Futura Giovani Busto Arsizio</t>
        </is>
      </c>
      <c r="E21" s="70" t="inlineStr">
        <is>
          <t>FUORI</t>
        </is>
      </c>
      <c r="F21" s="68" t="inlineStr">
        <is>
          <t>NO</t>
        </is>
      </c>
      <c r="G21" s="72" t="inlineStr">
        <is>
          <t>ALTA DENSITA</t>
        </is>
      </c>
    </row>
    <row r="22" ht="18" customHeight="1">
      <c r="A22" s="68" t="n">
        <v>20</v>
      </c>
      <c r="B22" s="68" t="inlineStr">
        <is>
          <t>Wed 20/01/2027</t>
        </is>
      </c>
      <c r="C22" s="68" t="inlineStr">
        <is>
          <t>3a Rit</t>
        </is>
      </c>
      <c r="D22" s="69" t="inlineStr">
        <is>
          <t>Panbisco Leonessa Altamura</t>
        </is>
      </c>
      <c r="E22" s="71" t="inlineStr">
        <is>
          <t>CASA</t>
        </is>
      </c>
      <c r="F22" s="68" t="inlineStr">
        <is>
          <t>SI</t>
        </is>
      </c>
      <c r="G22" s="72" t="inlineStr">
        <is>
          <t>ALTA DENSITA</t>
        </is>
      </c>
    </row>
    <row r="23" ht="18" customHeight="1">
      <c r="A23" s="68" t="n">
        <v>21</v>
      </c>
      <c r="B23" s="68" t="inlineStr">
        <is>
          <t>Sun 24/01/2027</t>
        </is>
      </c>
      <c r="C23" s="68" t="inlineStr">
        <is>
          <t>4a Rit</t>
        </is>
      </c>
      <c r="D23" s="69" t="inlineStr">
        <is>
          <t>Tenaglia Altino Avastese</t>
        </is>
      </c>
      <c r="E23" s="71" t="inlineStr">
        <is>
          <t>CASA</t>
        </is>
      </c>
      <c r="F23" s="68" t="inlineStr">
        <is>
          <t>NO</t>
        </is>
      </c>
      <c r="G23" s="72" t="inlineStr">
        <is>
          <t>ALTA DENSITA</t>
        </is>
      </c>
    </row>
    <row r="24" ht="18" customHeight="1">
      <c r="A24" s="68" t="n">
        <v>22</v>
      </c>
      <c r="B24" s="68" t="inlineStr">
        <is>
          <t>Sun 31/01/2027</t>
        </is>
      </c>
      <c r="C24" s="68" t="inlineStr">
        <is>
          <t>5a Rit</t>
        </is>
      </c>
      <c r="D24" s="69" t="inlineStr">
        <is>
          <t>Nuvoli Altafratte Padova</t>
        </is>
      </c>
      <c r="E24" s="70" t="inlineStr">
        <is>
          <t>FUORI</t>
        </is>
      </c>
      <c r="F24" s="68" t="inlineStr">
        <is>
          <t>NO</t>
        </is>
      </c>
      <c r="G24" s="68" t="inlineStr">
        <is>
          <t>STANDARD</t>
        </is>
      </c>
    </row>
    <row r="25" ht="18" customHeight="1">
      <c r="A25" s="68" t="n">
        <v>23</v>
      </c>
      <c r="B25" s="68" t="inlineStr">
        <is>
          <t>Wed 03/02/2027</t>
        </is>
      </c>
      <c r="C25" s="68" t="inlineStr">
        <is>
          <t>6a Rit</t>
        </is>
      </c>
      <c r="D25" s="69" t="inlineStr">
        <is>
          <t>Turno di Riposo</t>
        </is>
      </c>
      <c r="E25" s="73" t="inlineStr">
        <is>
          <t>RIPOSO</t>
        </is>
      </c>
      <c r="F25" s="68" t="inlineStr">
        <is>
          <t>SI</t>
        </is>
      </c>
      <c r="G25" s="73" t="inlineStr">
        <is>
          <t>RIPOSO</t>
        </is>
      </c>
    </row>
    <row r="26" ht="18" customHeight="1">
      <c r="A26" s="68" t="n">
        <v>24</v>
      </c>
      <c r="B26" s="68" t="inlineStr">
        <is>
          <t>Sun 07/02/2027</t>
        </is>
      </c>
      <c r="C26" s="68" t="inlineStr">
        <is>
          <t>7a Rit</t>
        </is>
      </c>
      <c r="D26" s="69" t="inlineStr">
        <is>
          <t>Dragons Offanengo</t>
        </is>
      </c>
      <c r="E26" s="70" t="inlineStr">
        <is>
          <t>FUORI</t>
        </is>
      </c>
      <c r="F26" s="68" t="inlineStr">
        <is>
          <t>NO</t>
        </is>
      </c>
      <c r="G26" s="68" t="inlineStr">
        <is>
          <t>STANDARD</t>
        </is>
      </c>
    </row>
    <row r="27" ht="18" customHeight="1">
      <c r="A27" s="68" t="n">
        <v>25</v>
      </c>
      <c r="B27" s="68" t="inlineStr">
        <is>
          <t>Sun 14/02/2027</t>
        </is>
      </c>
      <c r="C27" s="68" t="inlineStr">
        <is>
          <t>8a Rit</t>
        </is>
      </c>
      <c r="D27" s="69" t="inlineStr">
        <is>
          <t>Clai Imola Volley</t>
        </is>
      </c>
      <c r="E27" s="70" t="inlineStr">
        <is>
          <t>FUORI</t>
        </is>
      </c>
      <c r="F27" s="68" t="inlineStr">
        <is>
          <t>NO</t>
        </is>
      </c>
      <c r="G27" s="68" t="inlineStr">
        <is>
          <t>STANDARD</t>
        </is>
      </c>
    </row>
    <row r="28" ht="18" customHeight="1">
      <c r="A28" s="68" t="n">
        <v>26</v>
      </c>
      <c r="B28" s="68" t="inlineStr">
        <is>
          <t>Sun 21/02/2027</t>
        </is>
      </c>
      <c r="C28" s="68" t="inlineStr">
        <is>
          <t>9a Rit</t>
        </is>
      </c>
      <c r="D28" s="69" t="inlineStr">
        <is>
          <t>Club Italia</t>
        </is>
      </c>
      <c r="E28" s="71" t="inlineStr">
        <is>
          <t>CASA</t>
        </is>
      </c>
      <c r="F28" s="68" t="inlineStr">
        <is>
          <t>NO</t>
        </is>
      </c>
      <c r="G28" s="68" t="inlineStr">
        <is>
          <t>STANDARD</t>
        </is>
      </c>
    </row>
    <row r="29" ht="18" customHeight="1">
      <c r="A29" s="68" t="n">
        <v>27</v>
      </c>
      <c r="B29" s="68" t="inlineStr">
        <is>
          <t>Sun 28/02/2027</t>
        </is>
      </c>
      <c r="C29" s="68" t="inlineStr">
        <is>
          <t>10a Rit</t>
        </is>
      </c>
      <c r="D29" s="69" t="inlineStr">
        <is>
          <t>Itas Trentino</t>
        </is>
      </c>
      <c r="E29" s="70" t="inlineStr">
        <is>
          <t>FUORI</t>
        </is>
      </c>
      <c r="F29" s="68" t="inlineStr">
        <is>
          <t>NO</t>
        </is>
      </c>
      <c r="G29" s="72" t="inlineStr">
        <is>
          <t>ALTA DENSITA</t>
        </is>
      </c>
    </row>
    <row r="30" ht="18" customHeight="1">
      <c r="A30" s="68" t="n">
        <v>28</v>
      </c>
      <c r="B30" s="68" t="inlineStr">
        <is>
          <t>Wed 03/03/2027</t>
        </is>
      </c>
      <c r="C30" s="68" t="inlineStr">
        <is>
          <t>11a Rit</t>
        </is>
      </c>
      <c r="D30" s="69" t="inlineStr">
        <is>
          <t>Olio Pantaleo Volley Fasano</t>
        </is>
      </c>
      <c r="E30" s="70" t="inlineStr">
        <is>
          <t>FUORI</t>
        </is>
      </c>
      <c r="F30" s="68" t="inlineStr">
        <is>
          <t>SI</t>
        </is>
      </c>
      <c r="G30" s="72" t="inlineStr">
        <is>
          <t>ALTA DENSITA</t>
        </is>
      </c>
    </row>
    <row r="31" ht="18" customHeight="1">
      <c r="A31" s="68" t="n">
        <v>29</v>
      </c>
      <c r="B31" s="68" t="inlineStr">
        <is>
          <t>Sun 07/03/2027</t>
        </is>
      </c>
      <c r="C31" s="68" t="inlineStr">
        <is>
          <t>12a Rit</t>
        </is>
      </c>
      <c r="D31" s="69" t="inlineStr">
        <is>
          <t>Narconon Volley Melendugno</t>
        </is>
      </c>
      <c r="E31" s="71" t="inlineStr">
        <is>
          <t>CASA</t>
        </is>
      </c>
      <c r="F31" s="68" t="inlineStr">
        <is>
          <t>NO</t>
        </is>
      </c>
      <c r="G31" s="72" t="inlineStr">
        <is>
          <t>ALTA DENSITA</t>
        </is>
      </c>
    </row>
    <row r="32" ht="18" customHeight="1">
      <c r="A32" s="68" t="n">
        <v>30</v>
      </c>
      <c r="B32" s="68" t="inlineStr">
        <is>
          <t>Sun 14/03/2027</t>
        </is>
      </c>
      <c r="C32" s="68" t="inlineStr">
        <is>
          <t>13a Rit</t>
        </is>
      </c>
      <c r="D32" s="69" t="inlineStr">
        <is>
          <t>Wash4Green Monviso Volley</t>
        </is>
      </c>
      <c r="E32" s="70" t="inlineStr">
        <is>
          <t>FUORI</t>
        </is>
      </c>
      <c r="F32" s="68" t="inlineStr">
        <is>
          <t>NO</t>
        </is>
      </c>
      <c r="G32" s="68" t="inlineStr">
        <is>
          <t>STANDARD</t>
        </is>
      </c>
    </row>
    <row r="33" ht="18" customHeight="1">
      <c r="A33" s="68" t="n">
        <v>31</v>
      </c>
      <c r="B33" s="68" t="inlineStr">
        <is>
          <t>Sun 21/03/2027</t>
        </is>
      </c>
      <c r="C33" s="68" t="inlineStr">
        <is>
          <t>14a Rit</t>
        </is>
      </c>
      <c r="D33" s="69" t="inlineStr">
        <is>
          <t>VBC Cremonese</t>
        </is>
      </c>
      <c r="E33" s="71" t="inlineStr">
        <is>
          <t>CASA</t>
        </is>
      </c>
      <c r="F33" s="68" t="inlineStr">
        <is>
          <t>SI</t>
        </is>
      </c>
      <c r="G33" s="68" t="inlineStr">
        <is>
          <t>STANDARD</t>
        </is>
      </c>
    </row>
    <row r="34" ht="18" customHeight="1">
      <c r="A34" s="68" t="n">
        <v>32</v>
      </c>
      <c r="B34" s="68" t="inlineStr">
        <is>
          <t>Sun 28/03/2027</t>
        </is>
      </c>
      <c r="C34" s="68" t="inlineStr">
        <is>
          <t>15a Rit</t>
        </is>
      </c>
      <c r="D34" s="69" t="inlineStr">
        <is>
          <t>Bartoccini +energia Perugia</t>
        </is>
      </c>
      <c r="E34" s="70" t="inlineStr">
        <is>
          <t>FUORI</t>
        </is>
      </c>
      <c r="F34" s="68" t="inlineStr">
        <is>
          <t>NO</t>
        </is>
      </c>
      <c r="G34" s="68" t="inlineStr">
        <is>
          <t>STANDARD</t>
        </is>
      </c>
    </row>
    <row r="35" ht="18" customHeight="1">
      <c r="A35" s="68" t="n">
        <v>33</v>
      </c>
      <c r="B35" s="68" t="inlineStr">
        <is>
          <t>Sun 04/04/2027</t>
        </is>
      </c>
      <c r="C35" s="68" t="inlineStr">
        <is>
          <t>16a Rit</t>
        </is>
      </c>
      <c r="D35" s="69" t="inlineStr">
        <is>
          <t>Akademia Sant'Anna Messina</t>
        </is>
      </c>
      <c r="E35" s="70" t="inlineStr">
        <is>
          <t>FUORI</t>
        </is>
      </c>
      <c r="F35" s="68" t="inlineStr">
        <is>
          <t>NO</t>
        </is>
      </c>
      <c r="G35" s="68" t="inlineStr">
        <is>
          <t>DERBY</t>
        </is>
      </c>
    </row>
    <row r="36" ht="18" customHeight="1">
      <c r="A36" s="68" t="n">
        <v>34</v>
      </c>
      <c r="B36" s="68" t="inlineStr">
        <is>
          <t>Sun 11/04/2027</t>
        </is>
      </c>
      <c r="C36" s="68" t="inlineStr">
        <is>
          <t>17a Rit</t>
        </is>
      </c>
      <c r="D36" s="69" t="inlineStr">
        <is>
          <t>Ferraro SMI Roma Volley</t>
        </is>
      </c>
      <c r="E36" s="71" t="inlineStr">
        <is>
          <t>CASA</t>
        </is>
      </c>
      <c r="F36" s="68" t="inlineStr">
        <is>
          <t>NO</t>
        </is>
      </c>
      <c r="G36" s="68" t="inlineStr">
        <is>
          <t>STANDARD</t>
        </is>
      </c>
    </row>
    <row r="38" ht="42" customHeight="1">
      <c r="A38" s="75" t="inlineStr">
        <is>
          <t>Fonte: documento ufficiale 'SIGEL SEAP MARSALA VOLLEY — Calendario Regular Season Serie A2 Femminile 2026/27', Lega Volley Femminile Serie A2 Fineco, generato il 30/07/2026. 34 giornate-slot, 32 gare effettive + 2 turni di riposo. Formula post-season da regolamento di categoria (fonte: comunicazioni Lega/stampa specializzata) — verificare le date dei turni playoff quando pubblicate.</t>
        </is>
      </c>
    </row>
  </sheetData>
  <mergeCells count="2">
    <mergeCell ref="A38:G38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2026-08-15T12:57:43Z</dcterms:created>
  <dcterms:modified xsi:type="dcterms:W3CDTF">2026-08-15T12:57:43Z</dcterms:modified>
</cp:coreProperties>
</file>